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\Desktop\ExcelCurso\ModuloII\"/>
    </mc:Choice>
  </mc:AlternateContent>
  <xr:revisionPtr revIDLastSave="0" documentId="8_{6DD5B424-1439-4423-AE4F-84FE6A9D7C4D}" xr6:coauthVersionLast="45" xr6:coauthVersionMax="45" xr10:uidLastSave="{00000000-0000-0000-0000-000000000000}"/>
  <bookViews>
    <workbookView xWindow="-120" yWindow="-120" windowWidth="20730" windowHeight="11160" activeTab="3" xr2:uid="{483E1B6D-B829-4839-BCF9-D881BF296BBC}"/>
  </bookViews>
  <sheets>
    <sheet name="Menu" sheetId="1" r:id="rId1"/>
    <sheet name="Geral" sheetId="3" r:id="rId2"/>
    <sheet name="Cliente" sheetId="4" r:id="rId3"/>
    <sheet name="Calendário" sheetId="5" r:id="rId4"/>
    <sheet name="Cálculo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8" i="5" l="1"/>
  <c r="I17" i="5"/>
  <c r="I16" i="5"/>
  <c r="I15" i="5"/>
  <c r="I14" i="5"/>
  <c r="I13" i="5"/>
  <c r="I12" i="5"/>
  <c r="I11" i="5"/>
  <c r="I10" i="5"/>
  <c r="I9" i="5"/>
  <c r="H14" i="2"/>
  <c r="H13" i="2"/>
  <c r="H12" i="2"/>
  <c r="H11" i="2"/>
  <c r="M2" i="4" l="1"/>
  <c r="D3" i="4"/>
  <c r="H23" i="4" s="1"/>
  <c r="G23" i="4"/>
  <c r="G14" i="4" l="1"/>
  <c r="D13" i="4"/>
  <c r="Q9" i="4"/>
  <c r="N9" i="4"/>
  <c r="D9" i="4"/>
  <c r="G9" i="4"/>
  <c r="L3" i="3"/>
  <c r="N3" i="3" s="1"/>
  <c r="L2" i="3"/>
  <c r="N2" i="3" s="1"/>
  <c r="L11" i="3"/>
  <c r="K11" i="3"/>
  <c r="L10" i="3"/>
  <c r="K10" i="3"/>
  <c r="K9" i="3"/>
  <c r="M3" i="3"/>
  <c r="M2" i="3"/>
  <c r="K2" i="3"/>
  <c r="K3" i="3"/>
  <c r="J3" i="3"/>
  <c r="J2" i="3"/>
  <c r="G4" i="2" l="1"/>
  <c r="F4" i="2"/>
  <c r="L9" i="3"/>
  <c r="I11" i="3"/>
  <c r="I10" i="3"/>
  <c r="I9" i="3"/>
  <c r="G5" i="3"/>
  <c r="G4" i="3"/>
  <c r="G3" i="3"/>
  <c r="G2" i="3"/>
  <c r="E3" i="3"/>
  <c r="E4" i="3"/>
  <c r="E5" i="3"/>
  <c r="E2" i="3"/>
</calcChain>
</file>

<file path=xl/sharedStrings.xml><?xml version="1.0" encoding="utf-8"?>
<sst xmlns="http://schemas.openxmlformats.org/spreadsheetml/2006/main" count="142" uniqueCount="121">
  <si>
    <t>Geral</t>
  </si>
  <si>
    <t>Clientes</t>
  </si>
  <si>
    <t>Produtos</t>
  </si>
  <si>
    <t>Nome</t>
  </si>
  <si>
    <t>Fornecedor</t>
  </si>
  <si>
    <t>Preço de Compra</t>
  </si>
  <si>
    <t>Data de Compra</t>
  </si>
  <si>
    <t>Produto 1</t>
  </si>
  <si>
    <t>Produto 2</t>
  </si>
  <si>
    <t>Produto 3</t>
  </si>
  <si>
    <t>Fornecedor 2</t>
  </si>
  <si>
    <t>Fornecedor 3</t>
  </si>
  <si>
    <t>Fornecedor 1</t>
  </si>
  <si>
    <t>Observação: Essa aba é o local de cadastro dos meus produtos</t>
  </si>
  <si>
    <t>Dados</t>
  </si>
  <si>
    <t>Quantidade Comprada</t>
  </si>
  <si>
    <t>Preço de Venda</t>
  </si>
  <si>
    <t>Quantidade Vendida</t>
  </si>
  <si>
    <t>Estoque</t>
  </si>
  <si>
    <t>Margem de Lucro por Produto</t>
  </si>
  <si>
    <t>+</t>
  </si>
  <si>
    <t>-</t>
  </si>
  <si>
    <t>*</t>
  </si>
  <si>
    <t>/</t>
  </si>
  <si>
    <t>Fórmula com Números</t>
  </si>
  <si>
    <t>Fórmula com Referência</t>
  </si>
  <si>
    <t>SOMA</t>
  </si>
  <si>
    <t>Multiplicação</t>
  </si>
  <si>
    <t>Soma</t>
  </si>
  <si>
    <t>Outra Aba</t>
  </si>
  <si>
    <t>Colar Normal</t>
  </si>
  <si>
    <t>Fórmulas</t>
  </si>
  <si>
    <t>Fórmulas e Formato de Números</t>
  </si>
  <si>
    <t>Formatação Original</t>
  </si>
  <si>
    <t>Sem bordas</t>
  </si>
  <si>
    <t>Original</t>
  </si>
  <si>
    <t>Largura da Coluna Original</t>
  </si>
  <si>
    <t>Transpor</t>
  </si>
  <si>
    <t>Só Valores</t>
  </si>
  <si>
    <t>Valores e formatação de número</t>
  </si>
  <si>
    <t>Valores e Formatação ORIGINAL</t>
  </si>
  <si>
    <t>Só formatação</t>
  </si>
  <si>
    <t>Vínculo</t>
  </si>
  <si>
    <t>Imagem</t>
  </si>
  <si>
    <t>Imagem com Vínculo</t>
  </si>
  <si>
    <t>Prova1</t>
  </si>
  <si>
    <t>Prova2</t>
  </si>
  <si>
    <t>João</t>
  </si>
  <si>
    <t>Ana</t>
  </si>
  <si>
    <t>Julia</t>
  </si>
  <si>
    <t>Paulo</t>
  </si>
  <si>
    <t>Média</t>
  </si>
  <si>
    <t>Observação:Essa aba contém a divisão de turnos dos funcionários da empresa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</si>
  <si>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</si>
  <si>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</si>
  <si>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</si>
  <si>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</si>
  <si>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</si>
  <si>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</si>
  <si>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</si>
  <si>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Dom</t>
  </si>
  <si>
    <t>Seg</t>
  </si>
  <si>
    <t>Ter</t>
  </si>
  <si>
    <t>Qua</t>
  </si>
  <si>
    <t>Qui</t>
  </si>
  <si>
    <t>Sex</t>
  </si>
  <si>
    <t>Sáb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</si>
  <si>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</si>
  <si>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</si>
  <si>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</si>
  <si>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</si>
  <si>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</si>
  <si>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</si>
  <si>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</si>
  <si>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</si>
  <si>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</si>
  <si>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</si>
  <si>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</si>
  <si>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</si>
  <si>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</si>
  <si>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</si>
  <si>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</si>
  <si>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</si>
  <si>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</si>
  <si>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</si>
  <si>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</si>
  <si>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</si>
  <si>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</si>
  <si>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</si>
  <si>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</si>
  <si>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</si>
  <si>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Banana</t>
  </si>
  <si>
    <t>Laranja</t>
  </si>
  <si>
    <t>Abacaxi</t>
  </si>
  <si>
    <t>Mamão</t>
  </si>
  <si>
    <t>Dò</t>
  </si>
  <si>
    <t>Ré</t>
  </si>
  <si>
    <t>Mi</t>
  </si>
  <si>
    <t>Fá</t>
  </si>
  <si>
    <t>Sol</t>
  </si>
  <si>
    <t>Lá</t>
  </si>
  <si>
    <t>Si</t>
  </si>
  <si>
    <t>Dó</t>
  </si>
  <si>
    <t>paulo.roberto@yahoo</t>
  </si>
  <si>
    <t>joao.paulo@gmail</t>
  </si>
  <si>
    <t>ana.beatriz@gmail</t>
  </si>
  <si>
    <t>luisa.goncalves@outlook</t>
  </si>
  <si>
    <t>gabriel.miguel@hotmail</t>
  </si>
  <si>
    <t>joao</t>
  </si>
  <si>
    <t>paulo</t>
  </si>
  <si>
    <t>ana</t>
  </si>
  <si>
    <t>luisa</t>
  </si>
  <si>
    <t>gabriel</t>
  </si>
  <si>
    <t>roberto</t>
  </si>
  <si>
    <t>beatriz</t>
  </si>
  <si>
    <t>goncalves</t>
  </si>
  <si>
    <t>miguel</t>
  </si>
  <si>
    <t>gmail</t>
  </si>
  <si>
    <t>yahoo</t>
  </si>
  <si>
    <t>outlook</t>
  </si>
  <si>
    <t>hotmail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</si>
</sst>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0" fontId="6" fillId="3" borderId="0" applyNumberFormat="0" applyBorder="0" applyAlignment="0" applyProtection="0"/>
    <xf numFmtId="0" fontId="4" fillId="4" borderId="0" applyNumberFormat="0" applyBorder="0" applyAlignment="0" applyProtection="0"/>
    <xf numFmtId="9" fontId="4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/>
    <xf numFmtId="0" fontId="0" fillId="0" borderId="0" xfId="0" applyAlignment="1">
      <alignment textRotation="90"/>
    </xf>
    <xf numFmtId="0" fontId="0" fillId="0" borderId="0" xfId="0" applyNumberFormat="1"/>
    <xf numFmtId="0" fontId="6" fillId="3" borderId="1" xfId="1" applyBorder="1"/>
    <xf numFmtId="164" fontId="6" fillId="3" borderId="1" xfId="1" applyNumberFormat="1" applyBorder="1" applyProtection="1">
      <protection locked="0"/>
    </xf>
    <xf numFmtId="14" fontId="6" fillId="3" borderId="1" xfId="1" applyNumberFormat="1" applyBorder="1"/>
    <xf numFmtId="0" fontId="4" fillId="4" borderId="1" xfId="2" applyBorder="1"/>
    <xf numFmtId="164" fontId="4" fillId="4" borderId="1" xfId="2" applyNumberFormat="1" applyBorder="1" applyProtection="1">
      <protection locked="0"/>
    </xf>
    <xf numFmtId="14" fontId="4" fillId="4" borderId="1" xfId="2" applyNumberFormat="1" applyBorder="1"/>
    <xf numFmtId="0" fontId="3" fillId="2" borderId="1" xfId="0" applyFont="1" applyFill="1" applyBorder="1"/>
    <xf numFmtId="164" fontId="6" fillId="3" borderId="1" xfId="1" applyNumberFormat="1" applyBorder="1"/>
    <xf numFmtId="9" fontId="6" fillId="3" borderId="1" xfId="1" applyNumberFormat="1" applyBorder="1"/>
    <xf numFmtId="164" fontId="4" fillId="4" borderId="1" xfId="2" applyNumberFormat="1" applyBorder="1"/>
    <xf numFmtId="0" fontId="7" fillId="0" borderId="0" xfId="0" applyFont="1"/>
    <xf numFmtId="0" fontId="6" fillId="5" borderId="1" xfId="1" applyFill="1" applyBorder="1"/>
    <xf numFmtId="9" fontId="6" fillId="5" borderId="1" xfId="1" applyNumberFormat="1" applyFill="1" applyBorder="1"/>
    <xf numFmtId="0" fontId="8" fillId="6" borderId="3" xfId="0" applyFont="1" applyFill="1" applyBorder="1"/>
    <xf numFmtId="9" fontId="8" fillId="6" borderId="3" xfId="3" applyFont="1" applyFill="1" applyBorder="1"/>
    <xf numFmtId="9" fontId="0" fillId="0" borderId="0" xfId="0" applyNumberFormat="1"/>
    <xf numFmtId="0" fontId="8" fillId="6" borderId="0" xfId="0" applyFont="1" applyFill="1" applyBorder="1"/>
    <xf numFmtId="9" fontId="8" fillId="6" borderId="0" xfId="3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5" fillId="0" borderId="4" xfId="0" applyFont="1" applyBorder="1" applyAlignment="1">
      <alignment horizontal="center" vertical="center" textRotation="255"/>
    </xf>
    <xf numFmtId="0" fontId="5" fillId="0" borderId="2" xfId="0" applyFont="1" applyBorder="1" applyAlignment="1">
      <alignment horizontal="center" vertical="center" textRotation="255"/>
    </xf>
    <xf numFmtId="0" fontId="5" fillId="0" borderId="5" xfId="0" applyFont="1" applyBorder="1" applyAlignment="1">
      <alignment horizontal="center" vertical="center" textRotation="255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4"/>
  </cellXfs>
  <cellStyles count="5">
    <cellStyle name="60% - Ênfase6" xfId="2" builtinId="52"/>
    <cellStyle name="Ênfase6" xfId="1" builtinId="49"/>
    <cellStyle name="Hiperlink" xfId="4" builtinId="8"/>
    <cellStyle name="Normal" xfId="0" builtinId="0"/>
    <cellStyle name="Porcentagem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23</xdr:row>
      <xdr:rowOff>0</xdr:rowOff>
    </xdr:from>
    <xdr:to>
      <xdr:col>12</xdr:col>
      <xdr:colOff>85725</xdr:colOff>
      <xdr:row>24</xdr:row>
      <xdr:rowOff>55814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75F3D78-998D-49D8-8199-DFFC1C59A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4438650"/>
          <a:ext cx="1914525" cy="246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</xdr:colOff>
          <xdr:row>22</xdr:row>
          <xdr:rowOff>200024</xdr:rowOff>
        </xdr:from>
        <xdr:to>
          <xdr:col>16</xdr:col>
          <xdr:colOff>447675</xdr:colOff>
          <xdr:row>24</xdr:row>
          <xdr:rowOff>23950</xdr:rowOff>
        </xdr:to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58AABDBF-7064-4362-918B-947B0DA7B13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3:$D$3" spid="_x0000_s1042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9858376" y="4438649"/>
              <a:ext cx="1666874" cy="21445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ana.beatriz@gmail" TargetMode="External"/><Relationship Id="rId2" Type="http://schemas.openxmlformats.org/officeDocument/2006/relationships/hyperlink" Target="mailto:paulo.roberto@yahoo" TargetMode="External"/><Relationship Id="rId1" Type="http://schemas.openxmlformats.org/officeDocument/2006/relationships/hyperlink" Target="mailto:joao.paulo@gmail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gabriel.miguel@hotmail" TargetMode="External"/><Relationship Id="rId4" Type="http://schemas.openxmlformats.org/officeDocument/2006/relationships/hyperlink" Target="mailto:luisa.goncalves@outloo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871F7-D809-4883-BC2F-1BA93420017C}">
  <dimension ref="C3:C5"/>
  <sheetViews>
    <sheetView workbookViewId="0">
      <selection activeCell="C9" sqref="C9"/>
    </sheetView>
  </sheetViews>
  <sheetFormatPr defaultRowHeight="15" x14ac:dyDescent="0.25"/>
  <sheetData>
    <row r="3" spans="3:3" x14ac:dyDescent="0.25">
      <c r="C3" t="s">
        <v>0</v>
      </c>
    </row>
    <row r="5" spans="3:3" x14ac:dyDescent="0.25">
      <c r="C5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74D8-15AC-4C56-9B9C-92DE12A46B23}">
  <dimension ref="A1:N22"/>
  <sheetViews>
    <sheetView topLeftCell="B1" zoomScaleNormal="100" workbookViewId="0">
      <selection activeCell="L15" sqref="L15"/>
    </sheetView>
  </sheetViews>
  <sheetFormatPr defaultRowHeight="15" x14ac:dyDescent="0.25"/>
  <cols>
    <col min="1" max="1" width="6.5703125" customWidth="1"/>
    <col min="2" max="2" width="6.42578125" customWidth="1"/>
    <col min="3" max="3" width="5.85546875" customWidth="1"/>
    <col min="4" max="4" width="11.140625" customWidth="1"/>
    <col min="5" max="5" width="17.140625" customWidth="1"/>
    <col min="6" max="6" width="18.140625" bestFit="1" customWidth="1"/>
    <col min="7" max="7" width="17.7109375" customWidth="1"/>
    <col min="8" max="8" width="23.28515625" customWidth="1"/>
    <col min="9" max="9" width="16.42578125" bestFit="1" customWidth="1"/>
    <col min="10" max="10" width="21.5703125" bestFit="1" customWidth="1"/>
    <col min="11" max="11" width="13.28515625" customWidth="1"/>
    <col min="12" max="12" width="31.5703125" bestFit="1" customWidth="1"/>
  </cols>
  <sheetData>
    <row r="1" spans="2:14" x14ac:dyDescent="0.25">
      <c r="E1" t="s">
        <v>24</v>
      </c>
      <c r="G1" t="s">
        <v>25</v>
      </c>
      <c r="K1" t="s">
        <v>29</v>
      </c>
    </row>
    <row r="2" spans="2:14" x14ac:dyDescent="0.25">
      <c r="B2">
        <v>10</v>
      </c>
      <c r="D2" t="s">
        <v>20</v>
      </c>
      <c r="E2">
        <f>10+2</f>
        <v>12</v>
      </c>
      <c r="G2">
        <f>B2+B3</f>
        <v>12</v>
      </c>
      <c r="I2" t="s">
        <v>28</v>
      </c>
      <c r="J2">
        <f>SUM(E2,E4,E5)</f>
        <v>37</v>
      </c>
      <c r="K2">
        <f>SUM(Cálculos!D4,Cálculos!D5,Cálculos!D7)</f>
        <v>9</v>
      </c>
      <c r="L2">
        <f>SUM(Cálculos!E4,Cálculos!E5,Cálculos!E7)</f>
        <v>4</v>
      </c>
      <c r="M2">
        <f>J2+K2</f>
        <v>46</v>
      </c>
      <c r="N2">
        <f>K2+L2</f>
        <v>13</v>
      </c>
    </row>
    <row r="3" spans="2:14" ht="15.75" x14ac:dyDescent="0.25">
      <c r="B3">
        <v>2</v>
      </c>
      <c r="D3" t="s">
        <v>21</v>
      </c>
      <c r="E3" s="3">
        <f>10-2</f>
        <v>8</v>
      </c>
      <c r="G3">
        <f>B2-B3</f>
        <v>8</v>
      </c>
      <c r="I3" t="s">
        <v>27</v>
      </c>
      <c r="J3">
        <f>PRODUCT(E2:E5)</f>
        <v>9600</v>
      </c>
      <c r="K3" s="14">
        <f>PRODUCT(Cálculos!D4:D7)</f>
        <v>30</v>
      </c>
      <c r="L3" s="14">
        <f>PRODUCT(Cálculos!E4:E7)</f>
        <v>2</v>
      </c>
      <c r="M3">
        <f>J3+K3</f>
        <v>9630</v>
      </c>
      <c r="N3">
        <f>K3+L3</f>
        <v>32</v>
      </c>
    </row>
    <row r="4" spans="2:14" x14ac:dyDescent="0.25">
      <c r="D4" t="s">
        <v>22</v>
      </c>
      <c r="E4">
        <f>10*2</f>
        <v>20</v>
      </c>
      <c r="G4">
        <f>B2*B3</f>
        <v>20</v>
      </c>
    </row>
    <row r="5" spans="2:14" x14ac:dyDescent="0.25">
      <c r="D5" t="s">
        <v>23</v>
      </c>
      <c r="E5">
        <f>10/2</f>
        <v>5</v>
      </c>
      <c r="G5">
        <f>B2/B3</f>
        <v>5</v>
      </c>
    </row>
    <row r="6" spans="2:14" ht="20.25" customHeight="1" x14ac:dyDescent="0.25"/>
    <row r="7" spans="2:14" ht="22.5" customHeight="1" x14ac:dyDescent="0.25">
      <c r="D7" s="27" t="s">
        <v>2</v>
      </c>
      <c r="E7" s="27"/>
      <c r="F7" s="27"/>
      <c r="G7" s="27"/>
      <c r="H7" s="27"/>
      <c r="I7" s="27"/>
      <c r="J7" s="27"/>
      <c r="K7" s="27"/>
      <c r="L7" s="27"/>
    </row>
    <row r="8" spans="2:14" ht="18.75" customHeight="1" x14ac:dyDescent="0.25">
      <c r="D8" s="10" t="s">
        <v>3</v>
      </c>
      <c r="E8" s="10" t="s">
        <v>4</v>
      </c>
      <c r="F8" s="10" t="s">
        <v>5</v>
      </c>
      <c r="G8" s="10" t="s">
        <v>6</v>
      </c>
      <c r="H8" s="10" t="s">
        <v>15</v>
      </c>
      <c r="I8" s="10" t="s">
        <v>16</v>
      </c>
      <c r="J8" s="10" t="s">
        <v>17</v>
      </c>
      <c r="K8" s="10" t="s">
        <v>18</v>
      </c>
      <c r="L8" s="10" t="s">
        <v>19</v>
      </c>
    </row>
    <row r="9" spans="2:14" ht="22.5" customHeight="1" x14ac:dyDescent="0.25">
      <c r="C9" s="24" t="s">
        <v>14</v>
      </c>
      <c r="D9" s="4" t="s">
        <v>7</v>
      </c>
      <c r="E9" s="4" t="s">
        <v>10</v>
      </c>
      <c r="F9" s="5">
        <v>4.5</v>
      </c>
      <c r="G9" s="6">
        <v>42024</v>
      </c>
      <c r="H9" s="4">
        <v>10</v>
      </c>
      <c r="I9" s="11">
        <f>F9+2.5</f>
        <v>7</v>
      </c>
      <c r="J9" s="4">
        <v>5</v>
      </c>
      <c r="K9" s="4">
        <f>H9-J9</f>
        <v>5</v>
      </c>
      <c r="L9" s="12">
        <f>(I9-F9)/I9</f>
        <v>0.35714285714285715</v>
      </c>
    </row>
    <row r="10" spans="2:14" ht="23.25" customHeight="1" x14ac:dyDescent="0.25">
      <c r="C10" s="25"/>
      <c r="D10" s="7" t="s">
        <v>8</v>
      </c>
      <c r="E10" s="7" t="s">
        <v>12</v>
      </c>
      <c r="F10" s="8">
        <v>7</v>
      </c>
      <c r="G10" s="9">
        <v>42025</v>
      </c>
      <c r="H10" s="7">
        <v>20</v>
      </c>
      <c r="I10" s="13">
        <f>F10+3</f>
        <v>10</v>
      </c>
      <c r="J10" s="7">
        <v>8</v>
      </c>
      <c r="K10" s="15">
        <f t="shared" ref="K10:K11" si="0">H10-J10</f>
        <v>12</v>
      </c>
      <c r="L10" s="16">
        <f t="shared" ref="L10:L11" si="1">(I10-F10)/I10</f>
        <v>0.3</v>
      </c>
    </row>
    <row r="11" spans="2:14" ht="28.5" customHeight="1" x14ac:dyDescent="0.25">
      <c r="C11" s="26"/>
      <c r="D11" s="4" t="s">
        <v>9</v>
      </c>
      <c r="E11" s="4" t="s">
        <v>11</v>
      </c>
      <c r="F11" s="5">
        <v>8</v>
      </c>
      <c r="G11" s="6">
        <v>42025</v>
      </c>
      <c r="H11" s="4">
        <v>25</v>
      </c>
      <c r="I11" s="11">
        <f>F11+6</f>
        <v>14</v>
      </c>
      <c r="J11" s="4">
        <v>17</v>
      </c>
      <c r="K11" s="4">
        <f t="shared" si="0"/>
        <v>8</v>
      </c>
      <c r="L11" s="12">
        <f t="shared" si="1"/>
        <v>0.42857142857142855</v>
      </c>
    </row>
    <row r="12" spans="2:14" x14ac:dyDescent="0.25">
      <c r="C12" s="1"/>
    </row>
    <row r="17" spans="1:11" ht="28.5" customHeight="1" x14ac:dyDescent="0.25">
      <c r="A17" s="23" t="s">
        <v>13</v>
      </c>
      <c r="B17" s="23"/>
      <c r="C17" s="23"/>
      <c r="D17" s="23"/>
      <c r="K17" s="2"/>
    </row>
    <row r="22" spans="1:11" x14ac:dyDescent="0.25">
      <c r="E22" s="3"/>
    </row>
  </sheetData>
  <mergeCells count="3">
    <mergeCell ref="A17:D17"/>
    <mergeCell ref="C9:C11"/>
    <mergeCell ref="D7:L7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31969-EFD2-417B-84D2-C5467789402C}">
  <dimension ref="C2:Q23"/>
  <sheetViews>
    <sheetView topLeftCell="A10" workbookViewId="0">
      <selection activeCell="A10" sqref="A10:R30"/>
    </sheetView>
  </sheetViews>
  <sheetFormatPr defaultRowHeight="15" x14ac:dyDescent="0.25"/>
  <cols>
    <col min="3" max="3" width="11.85546875" customWidth="1"/>
    <col min="4" max="4" width="12.42578125" customWidth="1"/>
    <col min="8" max="8" width="23" customWidth="1"/>
  </cols>
  <sheetData>
    <row r="2" spans="3:17" ht="15.75" x14ac:dyDescent="0.25">
      <c r="C2" t="s">
        <v>35</v>
      </c>
      <c r="L2" s="17">
        <v>50</v>
      </c>
      <c r="M2" s="18">
        <f>0*(L2*9)</f>
        <v>0</v>
      </c>
    </row>
    <row r="3" spans="3:17" ht="15.75" x14ac:dyDescent="0.25">
      <c r="C3" s="17">
        <v>10</v>
      </c>
      <c r="D3" s="18">
        <f>C3*9</f>
        <v>90</v>
      </c>
    </row>
    <row r="4" spans="3:17" x14ac:dyDescent="0.25">
      <c r="C4">
        <v>9</v>
      </c>
      <c r="D4">
        <v>5</v>
      </c>
    </row>
    <row r="8" spans="3:17" x14ac:dyDescent="0.25">
      <c r="C8" t="s">
        <v>30</v>
      </c>
      <c r="F8" t="s">
        <v>31</v>
      </c>
      <c r="I8" t="s">
        <v>32</v>
      </c>
      <c r="M8" t="s">
        <v>33</v>
      </c>
      <c r="P8" t="s">
        <v>34</v>
      </c>
    </row>
    <row r="9" spans="3:17" ht="15.75" x14ac:dyDescent="0.25">
      <c r="C9" s="17">
        <v>10</v>
      </c>
      <c r="D9" s="18">
        <f>C9*9</f>
        <v>90</v>
      </c>
      <c r="F9">
        <v>10</v>
      </c>
      <c r="G9">
        <f>F9*9</f>
        <v>90</v>
      </c>
      <c r="I9">
        <v>10</v>
      </c>
      <c r="J9" s="19">
        <v>90</v>
      </c>
      <c r="M9" s="17">
        <v>10</v>
      </c>
      <c r="N9" s="18">
        <f>M9*9</f>
        <v>90</v>
      </c>
      <c r="P9" s="20">
        <v>10</v>
      </c>
      <c r="Q9" s="21">
        <f>P9*9</f>
        <v>90</v>
      </c>
    </row>
    <row r="12" spans="3:17" x14ac:dyDescent="0.25">
      <c r="C12" t="s">
        <v>36</v>
      </c>
      <c r="G12" t="s">
        <v>37</v>
      </c>
    </row>
    <row r="13" spans="3:17" ht="15.75" x14ac:dyDescent="0.25">
      <c r="C13" s="17">
        <v>10</v>
      </c>
      <c r="D13" s="18">
        <f>C13*9</f>
        <v>90</v>
      </c>
      <c r="G13" s="17">
        <v>10</v>
      </c>
      <c r="H13">
        <v>9</v>
      </c>
    </row>
    <row r="14" spans="3:17" ht="15.75" x14ac:dyDescent="0.25">
      <c r="G14" s="18">
        <f>G13*9</f>
        <v>90</v>
      </c>
      <c r="H14">
        <v>5</v>
      </c>
    </row>
    <row r="18" spans="3:15" x14ac:dyDescent="0.25">
      <c r="C18" s="28" t="s">
        <v>38</v>
      </c>
      <c r="D18" s="28"/>
      <c r="G18" s="28" t="s">
        <v>39</v>
      </c>
      <c r="H18" s="28"/>
      <c r="J18" t="s">
        <v>40</v>
      </c>
    </row>
    <row r="19" spans="3:15" ht="15.75" x14ac:dyDescent="0.25">
      <c r="C19">
        <v>10</v>
      </c>
      <c r="D19">
        <v>90</v>
      </c>
      <c r="G19">
        <v>10</v>
      </c>
      <c r="H19" s="19">
        <v>90</v>
      </c>
      <c r="J19" s="17">
        <v>10</v>
      </c>
      <c r="K19" s="18">
        <v>90</v>
      </c>
    </row>
    <row r="22" spans="3:15" x14ac:dyDescent="0.25">
      <c r="C22" t="s">
        <v>41</v>
      </c>
      <c r="G22" t="s">
        <v>42</v>
      </c>
    </row>
    <row r="23" spans="3:15" ht="15.75" x14ac:dyDescent="0.25">
      <c r="C23" s="17"/>
      <c r="D23" s="18"/>
      <c r="G23">
        <f t="shared" ref="G23:H23" si="0">C3</f>
        <v>10</v>
      </c>
      <c r="H23">
        <f t="shared" si="0"/>
        <v>90</v>
      </c>
      <c r="J23" t="s">
        <v>43</v>
      </c>
      <c r="O23" t="s">
        <v>44</v>
      </c>
    </row>
  </sheetData>
  <mergeCells count="2">
    <mergeCell ref="C18:D18"/>
    <mergeCell ref="G18:H18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87586-06BC-4449-9C28-87A75B8E467D}">
  <dimension ref="A2:V27"/>
  <sheetViews>
    <sheetView tabSelected="1" topLeftCell="D1" workbookViewId="0">
      <selection activeCell="E13" sqref="E13"/>
    </sheetView>
  </sheetViews>
  <sheetFormatPr defaultRowHeight="15" x14ac:dyDescent="0.25"/>
  <cols>
    <col min="1" max="1" width="26.85546875" bestFit="1" customWidth="1"/>
    <col min="3" max="3" width="27.42578125" customWidth="1"/>
    <col min="6" max="6" width="13.5703125" bestFit="1" customWidth="1"/>
    <col min="7" max="7" width="10.5703125" bestFit="1" customWidth="1"/>
    <col min="8" max="9" width="11.85546875" bestFit="1" customWidth="1"/>
    <col min="10" max="10" width="10.7109375" bestFit="1" customWidth="1"/>
    <col min="14" max="14" width="23.5703125" bestFit="1" customWidth="1"/>
  </cols>
  <sheetData>
    <row r="2" spans="5:22" x14ac:dyDescent="0.25"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</row>
    <row r="3" spans="5:22" x14ac:dyDescent="0.25">
      <c r="E3" t="s">
        <v>60</v>
      </c>
      <c r="F3" t="s">
        <v>61</v>
      </c>
      <c r="G3" t="s">
        <v>62</v>
      </c>
      <c r="H3" t="s">
        <v>63</v>
      </c>
      <c r="I3" t="s">
        <v>64</v>
      </c>
      <c r="J3" t="s">
        <v>65</v>
      </c>
      <c r="K3" t="s">
        <v>66</v>
      </c>
    </row>
    <row r="4" spans="5:22" x14ac:dyDescent="0.25">
      <c r="E4" t="s">
        <v>67</v>
      </c>
      <c r="F4" t="s">
        <v>68</v>
      </c>
      <c r="G4" t="s">
        <v>69</v>
      </c>
      <c r="H4" t="s">
        <v>70</v>
      </c>
      <c r="I4" t="s">
        <v>71</v>
      </c>
      <c r="J4" t="s">
        <v>72</v>
      </c>
      <c r="K4" t="s">
        <v>73</v>
      </c>
      <c r="L4" t="s">
        <v>74</v>
      </c>
      <c r="M4" t="s">
        <v>75</v>
      </c>
      <c r="N4" t="s">
        <v>76</v>
      </c>
      <c r="O4" t="s">
        <v>77</v>
      </c>
      <c r="P4" t="s">
        <v>78</v>
      </c>
    </row>
    <row r="5" spans="5:22" x14ac:dyDescent="0.25">
      <c r="E5" t="s">
        <v>79</v>
      </c>
      <c r="F5" t="s">
        <v>80</v>
      </c>
      <c r="G5" t="s">
        <v>81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</row>
    <row r="9" spans="5:22" x14ac:dyDescent="0.25">
      <c r="F9">
        <v>1</v>
      </c>
      <c r="H9">
        <v>10</v>
      </c>
      <c r="I9">
        <f>F9+H9</f>
        <v>11</v>
      </c>
      <c r="J9" t="s">
        <v>91</v>
      </c>
      <c r="L9" t="s">
        <v>95</v>
      </c>
      <c r="M9" t="s">
        <v>96</v>
      </c>
      <c r="N9" t="s">
        <v>97</v>
      </c>
      <c r="O9" t="s">
        <v>98</v>
      </c>
      <c r="P9" t="s">
        <v>99</v>
      </c>
      <c r="Q9" t="s">
        <v>100</v>
      </c>
      <c r="R9" t="s">
        <v>101</v>
      </c>
      <c r="S9" t="s">
        <v>102</v>
      </c>
      <c r="T9" t="s">
        <v>96</v>
      </c>
      <c r="U9" t="s">
        <v>97</v>
      </c>
      <c r="V9" t="s">
        <v>98</v>
      </c>
    </row>
    <row r="10" spans="5:22" x14ac:dyDescent="0.25">
      <c r="F10">
        <v>2</v>
      </c>
      <c r="H10">
        <v>12</v>
      </c>
      <c r="I10">
        <f t="shared" ref="I10:I18" si="0">F10+H10</f>
        <v>14</v>
      </c>
      <c r="J10" t="s">
        <v>92</v>
      </c>
    </row>
    <row r="11" spans="5:22" x14ac:dyDescent="0.25">
      <c r="F11">
        <v>3</v>
      </c>
      <c r="H11">
        <v>13</v>
      </c>
      <c r="I11">
        <f t="shared" si="0"/>
        <v>16</v>
      </c>
      <c r="J11" t="s">
        <v>93</v>
      </c>
    </row>
    <row r="12" spans="5:22" x14ac:dyDescent="0.25">
      <c r="F12">
        <v>4</v>
      </c>
      <c r="H12">
        <v>14</v>
      </c>
      <c r="I12">
        <f t="shared" si="0"/>
        <v>18</v>
      </c>
      <c r="J12" t="s">
        <v>94</v>
      </c>
      <c r="N12" s="29" t="s">
        <v>104</v>
      </c>
      <c r="O12" t="s">
        <v>108</v>
      </c>
      <c r="P12" t="s">
        <v>109</v>
      </c>
      <c r="Q12" t="s">
        <v>117</v>
      </c>
    </row>
    <row r="13" spans="5:22" x14ac:dyDescent="0.25">
      <c r="F13">
        <v>5</v>
      </c>
      <c r="H13">
        <v>15</v>
      </c>
      <c r="I13">
        <f t="shared" si="0"/>
        <v>20</v>
      </c>
      <c r="J13" t="s">
        <v>91</v>
      </c>
      <c r="N13" s="29" t="s">
        <v>103</v>
      </c>
      <c r="O13" t="s">
        <v>109</v>
      </c>
      <c r="P13" t="s">
        <v>113</v>
      </c>
      <c r="Q13" t="s">
        <v>118</v>
      </c>
    </row>
    <row r="14" spans="5:22" x14ac:dyDescent="0.25">
      <c r="F14">
        <v>6</v>
      </c>
      <c r="H14">
        <v>16</v>
      </c>
      <c r="I14">
        <f t="shared" si="0"/>
        <v>22</v>
      </c>
      <c r="J14" t="s">
        <v>92</v>
      </c>
      <c r="N14" s="29" t="s">
        <v>105</v>
      </c>
      <c r="O14" t="s">
        <v>110</v>
      </c>
      <c r="P14" t="s">
        <v>114</v>
      </c>
      <c r="Q14" t="s">
        <v>117</v>
      </c>
    </row>
    <row r="15" spans="5:22" x14ac:dyDescent="0.25">
      <c r="F15">
        <v>7</v>
      </c>
      <c r="H15">
        <v>17</v>
      </c>
      <c r="I15">
        <f t="shared" si="0"/>
        <v>24</v>
      </c>
      <c r="J15" t="s">
        <v>93</v>
      </c>
      <c r="N15" s="29" t="s">
        <v>106</v>
      </c>
      <c r="O15" t="s">
        <v>111</v>
      </c>
      <c r="P15" t="s">
        <v>115</v>
      </c>
      <c r="Q15" t="s">
        <v>119</v>
      </c>
    </row>
    <row r="16" spans="5:22" x14ac:dyDescent="0.25">
      <c r="F16">
        <v>8</v>
      </c>
      <c r="H16">
        <v>18</v>
      </c>
      <c r="I16">
        <f t="shared" si="0"/>
        <v>26</v>
      </c>
      <c r="J16" t="s">
        <v>94</v>
      </c>
      <c r="N16" s="29" t="s">
        <v>107</v>
      </c>
      <c r="O16" t="s">
        <v>112</v>
      </c>
      <c r="P16" t="s">
        <v>116</v>
      </c>
      <c r="Q16" t="s">
        <v>120</v>
      </c>
    </row>
    <row r="17" spans="1:10" x14ac:dyDescent="0.25">
      <c r="A17" s="23" t="s">
        <v>52</v>
      </c>
      <c r="B17" s="23"/>
      <c r="C17" s="22"/>
      <c r="D17" s="22"/>
      <c r="E17" s="22"/>
      <c r="F17">
        <v>9</v>
      </c>
      <c r="H17">
        <v>19</v>
      </c>
      <c r="I17">
        <f t="shared" si="0"/>
        <v>28</v>
      </c>
      <c r="J17" t="s">
        <v>91</v>
      </c>
    </row>
    <row r="18" spans="1:10" x14ac:dyDescent="0.25">
      <c r="A18" s="23"/>
      <c r="B18" s="23"/>
      <c r="D18" s="22"/>
      <c r="E18" s="22"/>
      <c r="F18">
        <v>10</v>
      </c>
      <c r="H18">
        <v>20</v>
      </c>
      <c r="I18">
        <f t="shared" si="0"/>
        <v>30</v>
      </c>
      <c r="J18" t="s">
        <v>92</v>
      </c>
    </row>
    <row r="19" spans="1:10" x14ac:dyDescent="0.25">
      <c r="A19" s="22"/>
      <c r="B19" s="22"/>
      <c r="C19" s="22"/>
      <c r="D19" s="22"/>
      <c r="E19" s="22"/>
      <c r="J19" t="s">
        <v>93</v>
      </c>
    </row>
    <row r="20" spans="1:10" x14ac:dyDescent="0.25">
      <c r="A20" s="28"/>
      <c r="B20" s="28"/>
      <c r="C20" s="28"/>
      <c r="D20" s="28"/>
      <c r="E20" s="28"/>
      <c r="J20" t="s">
        <v>94</v>
      </c>
    </row>
    <row r="21" spans="1:10" x14ac:dyDescent="0.25">
      <c r="A21" s="28"/>
      <c r="B21" s="28"/>
      <c r="C21" s="28"/>
      <c r="D21" s="28"/>
      <c r="E21" s="28"/>
      <c r="J21" t="s">
        <v>91</v>
      </c>
    </row>
    <row r="22" spans="1:10" x14ac:dyDescent="0.25">
      <c r="A22" s="28"/>
      <c r="B22" s="28"/>
      <c r="C22" s="28"/>
      <c r="D22" s="28"/>
      <c r="E22" s="28"/>
      <c r="J22" t="s">
        <v>92</v>
      </c>
    </row>
    <row r="23" spans="1:10" x14ac:dyDescent="0.25">
      <c r="A23" s="28"/>
      <c r="B23" s="28"/>
      <c r="C23" s="28"/>
      <c r="D23" s="28"/>
      <c r="E23" s="28"/>
      <c r="J23" t="s">
        <v>93</v>
      </c>
    </row>
    <row r="24" spans="1:10" x14ac:dyDescent="0.25">
      <c r="A24" s="28"/>
      <c r="B24" s="28"/>
      <c r="C24" s="28"/>
      <c r="D24" s="28"/>
      <c r="E24" s="28"/>
      <c r="J24" t="s">
        <v>94</v>
      </c>
    </row>
    <row r="25" spans="1:10" x14ac:dyDescent="0.25">
      <c r="A25" s="28"/>
      <c r="B25" s="28"/>
      <c r="C25" s="28"/>
      <c r="D25" s="28"/>
      <c r="E25" s="28"/>
      <c r="J25" t="s">
        <v>91</v>
      </c>
    </row>
    <row r="26" spans="1:10" x14ac:dyDescent="0.25">
      <c r="J26" t="s">
        <v>92</v>
      </c>
    </row>
    <row r="27" spans="1:10" x14ac:dyDescent="0.25">
      <c r="J27" t="s">
        <v>93</v>
      </c>
    </row>
  </sheetData>
  <mergeCells count="3">
    <mergeCell ref="A20:E22"/>
    <mergeCell ref="A23:E25"/>
    <mergeCell ref="A17:B18"/>
  </mergeCells>
  <phoneticPr fontId="1" type="noConversion"/>
  <hyperlinks>
    <hyperlink ref="N12" r:id="rId1" xr:uid="{964475C5-BD35-499E-AF5C-FCA22CBA5BC4}"/>
    <hyperlink ref="N13" r:id="rId2" xr:uid="{DA8B559D-F955-4E8A-A9D0-25E23942C448}"/>
    <hyperlink ref="N14" r:id="rId3" xr:uid="{46640BE8-4C61-4E18-895A-19A2B2FBCE92}"/>
    <hyperlink ref="N15" r:id="rId4" xr:uid="{D9F38162-F262-41F8-A44D-2508E36A5284}"/>
    <hyperlink ref="N16" r:id="rId5" xr:uid="{51D8B590-E3BE-445C-ACFC-437980566120}"/>
  </hyperlinks>
  <pageMargins left="0.511811024" right="0.511811024" top="0.78740157499999996" bottom="0.78740157499999996" header="0.31496062000000002" footer="0.31496062000000002"/>
  <pageSetup paperSize="9" orientation="portrait"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0EB7F-BB9E-4220-A076-C6DF11E24DFE}">
  <dimension ref="D3:H14"/>
  <sheetViews>
    <sheetView workbookViewId="0">
      <selection activeCell="D28" sqref="D28"/>
    </sheetView>
  </sheetViews>
  <sheetFormatPr defaultRowHeight="15" x14ac:dyDescent="0.25"/>
  <cols>
    <col min="7" max="7" width="12.85546875" bestFit="1" customWidth="1"/>
  </cols>
  <sheetData>
    <row r="3" spans="4:8" x14ac:dyDescent="0.25">
      <c r="F3" t="s">
        <v>26</v>
      </c>
      <c r="G3" t="s">
        <v>27</v>
      </c>
    </row>
    <row r="4" spans="4:8" x14ac:dyDescent="0.25">
      <c r="D4">
        <v>5</v>
      </c>
      <c r="E4">
        <v>1</v>
      </c>
      <c r="F4">
        <f>SUM(D4:E7)</f>
        <v>16</v>
      </c>
      <c r="G4">
        <f>PRODUCT(D4:E7)</f>
        <v>60</v>
      </c>
    </row>
    <row r="5" spans="4:8" x14ac:dyDescent="0.25">
      <c r="D5">
        <v>3</v>
      </c>
      <c r="E5">
        <v>1</v>
      </c>
    </row>
    <row r="6" spans="4:8" x14ac:dyDescent="0.25">
      <c r="D6">
        <v>2</v>
      </c>
      <c r="E6">
        <v>1</v>
      </c>
    </row>
    <row r="7" spans="4:8" x14ac:dyDescent="0.25">
      <c r="D7">
        <v>1</v>
      </c>
      <c r="E7">
        <v>2</v>
      </c>
    </row>
    <row r="9" spans="4:8" x14ac:dyDescent="0.25">
      <c r="E9" s="19">
        <v>0.8</v>
      </c>
      <c r="F9" s="19">
        <v>0.2</v>
      </c>
    </row>
    <row r="10" spans="4:8" x14ac:dyDescent="0.25">
      <c r="E10" t="s">
        <v>45</v>
      </c>
      <c r="F10" t="s">
        <v>46</v>
      </c>
      <c r="H10" t="s">
        <v>51</v>
      </c>
    </row>
    <row r="11" spans="4:8" x14ac:dyDescent="0.25">
      <c r="D11" t="s">
        <v>47</v>
      </c>
      <c r="E11">
        <v>10</v>
      </c>
      <c r="F11">
        <v>8</v>
      </c>
      <c r="H11">
        <f>E11*$E$9+F11*$F$9</f>
        <v>9.6</v>
      </c>
    </row>
    <row r="12" spans="4:8" x14ac:dyDescent="0.25">
      <c r="D12" t="s">
        <v>49</v>
      </c>
      <c r="E12">
        <v>10</v>
      </c>
      <c r="F12">
        <v>9</v>
      </c>
      <c r="H12">
        <f t="shared" ref="H12:H14" si="0">E12*$E$9+F12*$F$9</f>
        <v>9.8000000000000007</v>
      </c>
    </row>
    <row r="13" spans="4:8" x14ac:dyDescent="0.25">
      <c r="D13" t="s">
        <v>48</v>
      </c>
      <c r="E13">
        <v>7</v>
      </c>
      <c r="F13">
        <v>5</v>
      </c>
      <c r="H13">
        <f t="shared" si="0"/>
        <v>6.6000000000000005</v>
      </c>
    </row>
    <row r="14" spans="4:8" x14ac:dyDescent="0.25">
      <c r="D14" t="s">
        <v>50</v>
      </c>
      <c r="E14">
        <v>5</v>
      </c>
      <c r="F14">
        <v>3</v>
      </c>
      <c r="H14">
        <f t="shared" si="0"/>
        <v>4.5999999999999996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Menu</vt:lpstr>
      <vt:lpstr>Geral</vt:lpstr>
      <vt:lpstr>Cliente</vt:lpstr>
      <vt:lpstr>Calendário</vt:lpstr>
      <vt:lpstr>Cálculos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Laucis</dc:creator>
  <cp:lastModifiedBy>Eduardo Laucis</cp:lastModifiedBy>
  <dcterms:created xsi:type="dcterms:W3CDTF">2020-11-06T13:53:04Z</dcterms:created>
  <dcterms:modified xsi:type="dcterms:W3CDTF">2020-11-23T01:36:01Z</dcterms:modified>
</cp:coreProperties>
</file>