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ExcelCurso\ModuloI\"/>
    </mc:Choice>
  </mc:AlternateContent>
  <xr:revisionPtr revIDLastSave="0" documentId="8_{D2A9A379-8A1B-463D-8C16-1D0C0FD4D3B7}" xr6:coauthVersionLast="45" xr6:coauthVersionMax="45" xr10:uidLastSave="{00000000-0000-0000-0000-000000000000}"/>
  <bookViews>
    <workbookView xWindow="-120" yWindow="-120" windowWidth="20730" windowHeight="11160" activeTab="1" xr2:uid="{483E1B6D-B829-4839-BCF9-D881BF296BBC}"/>
  </bookViews>
  <sheets>
    <sheet name="Menu" sheetId="1" r:id="rId1"/>
    <sheet name="Geral" sheetId="3" r:id="rId2"/>
    <sheet name="Cliente" sheetId="4" r:id="rId3"/>
    <sheet name="Cálcul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" l="1"/>
  <c r="F4" i="2"/>
  <c r="L11" i="3"/>
  <c r="L10" i="3"/>
  <c r="L9" i="3"/>
  <c r="K11" i="3"/>
  <c r="K10" i="3"/>
  <c r="K9" i="3"/>
  <c r="I11" i="3"/>
  <c r="I10" i="3"/>
  <c r="I9" i="3"/>
  <c r="G5" i="3"/>
  <c r="G4" i="3"/>
  <c r="G3" i="3"/>
  <c r="G2" i="3"/>
  <c r="E3" i="3"/>
  <c r="E4" i="3"/>
  <c r="E5" i="3"/>
  <c r="E2" i="3"/>
</calcChain>
</file>

<file path=xl/sharedStrings.xml><?xml version="1.0" encoding="utf-8"?>
<sst xmlns="http://schemas.openxmlformats.org/spreadsheetml/2006/main" count="28" uniqueCount="28">
  <si>
    <t>Geral</t>
  </si>
  <si>
    <t>Clientes</t>
  </si>
  <si>
    <t>Produtos</t>
  </si>
  <si>
    <t>Nome</t>
  </si>
  <si>
    <t>Fornecedor</t>
  </si>
  <si>
    <t>Preço de Compra</t>
  </si>
  <si>
    <t>Data de Compra</t>
  </si>
  <si>
    <t>Produto 1</t>
  </si>
  <si>
    <t>Produto 2</t>
  </si>
  <si>
    <t>Produto 3</t>
  </si>
  <si>
    <t>Fornecedor 2</t>
  </si>
  <si>
    <t>Fornecedor 3</t>
  </si>
  <si>
    <t>Fornecedor 1</t>
  </si>
  <si>
    <t>Observação: Essa aba é o local de cadastro dos meus produtos</t>
  </si>
  <si>
    <t>Dados</t>
  </si>
  <si>
    <t>Quantidade Comprada</t>
  </si>
  <si>
    <t>Preço de Venda</t>
  </si>
  <si>
    <t>Quantidade Vendida</t>
  </si>
  <si>
    <t>Estoque</t>
  </si>
  <si>
    <t>Margem de Lucro por Produto</t>
  </si>
  <si>
    <t>+</t>
  </si>
  <si>
    <t>-</t>
  </si>
  <si>
    <t>*</t>
  </si>
  <si>
    <t>/</t>
  </si>
  <si>
    <t>Fórmula com Números</t>
  </si>
  <si>
    <t>Fórmula com Referência</t>
  </si>
  <si>
    <t>SOMA</t>
  </si>
  <si>
    <t>Multiplicação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</si>
</sst>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4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wrapText="1"/>
    </xf>
    <xf numFmtId="0" fontId="7" fillId="0" borderId="0" xfId="0" applyFont="1"/>
    <xf numFmtId="0" fontId="0" fillId="0" borderId="0" xfId="0" applyAlignment="1"/>
    <xf numFmtId="0" fontId="0" fillId="0" borderId="0" xfId="0" applyAlignment="1">
      <alignment textRotation="90"/>
    </xf>
    <xf numFmtId="0" fontId="2" fillId="0" borderId="3" xfId="0" applyFont="1" applyBorder="1" applyAlignment="1">
      <alignment horizontal="center" vertical="center"/>
    </xf>
    <xf numFmtId="0" fontId="0" fillId="0" borderId="0" xfId="0" applyNumberFormat="1"/>
    <xf numFmtId="0" fontId="6" fillId="3" borderId="1" xfId="1" applyBorder="1"/>
    <xf numFmtId="164" fontId="6" fillId="3" borderId="1" xfId="1" applyNumberFormat="1" applyBorder="1" applyProtection="1">
      <protection locked="0"/>
    </xf>
    <xf numFmtId="14" fontId="6" fillId="3" borderId="1" xfId="1" applyNumberFormat="1" applyBorder="1"/>
    <xf numFmtId="0" fontId="4" fillId="4" borderId="1" xfId="2" applyBorder="1"/>
    <xf numFmtId="164" fontId="4" fillId="4" borderId="1" xfId="2" applyNumberFormat="1" applyBorder="1" applyProtection="1">
      <protection locked="0"/>
    </xf>
    <xf numFmtId="14" fontId="4" fillId="4" borderId="1" xfId="2" applyNumberFormat="1" applyBorder="1"/>
    <xf numFmtId="0" fontId="5" fillId="0" borderId="4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5" xfId="0" applyFont="1" applyBorder="1" applyAlignment="1">
      <alignment horizontal="center" vertical="center" textRotation="255"/>
    </xf>
    <xf numFmtId="0" fontId="3" fillId="2" borderId="1" xfId="0" applyFont="1" applyFill="1" applyBorder="1"/>
    <xf numFmtId="164" fontId="6" fillId="3" borderId="1" xfId="1" applyNumberFormat="1" applyBorder="1"/>
    <xf numFmtId="9" fontId="6" fillId="3" borderId="1" xfId="1" applyNumberFormat="1" applyBorder="1"/>
    <xf numFmtId="164" fontId="4" fillId="4" borderId="1" xfId="2" applyNumberFormat="1" applyBorder="1"/>
    <xf numFmtId="9" fontId="4" fillId="4" borderId="1" xfId="2" applyNumberFormat="1" applyBorder="1"/>
  </cellXfs>
  <cellStyles count="3">
    <cellStyle name="60% - Ênfase6" xfId="2" builtinId="52"/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71F7-D809-4883-BC2F-1BA93420017C}">
  <dimension ref="C3:C5"/>
  <sheetViews>
    <sheetView workbookViewId="0">
      <selection activeCell="C9" sqref="C9"/>
    </sheetView>
  </sheetViews>
  <sheetFormatPr defaultRowHeight="15" x14ac:dyDescent="0.25"/>
  <sheetData>
    <row r="3" spans="3:3" x14ac:dyDescent="0.25">
      <c r="C3" t="s">
        <v>0</v>
      </c>
    </row>
    <row r="5" spans="3:3" x14ac:dyDescent="0.25">
      <c r="C5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4D8-15AC-4C56-9B9C-92DE12A46B23}">
  <dimension ref="A1:L22"/>
  <sheetViews>
    <sheetView tabSelected="1" workbookViewId="0">
      <selection activeCell="H14" sqref="H14"/>
    </sheetView>
  </sheetViews>
  <sheetFormatPr defaultRowHeight="15" x14ac:dyDescent="0.25"/>
  <cols>
    <col min="1" max="1" width="6.5703125" customWidth="1"/>
    <col min="2" max="2" width="6.42578125" customWidth="1"/>
    <col min="3" max="3" width="5.85546875" customWidth="1"/>
    <col min="4" max="4" width="11.140625" customWidth="1"/>
    <col min="5" max="5" width="12.5703125" bestFit="1" customWidth="1"/>
    <col min="6" max="6" width="17.42578125" customWidth="1"/>
    <col min="7" max="7" width="17.7109375" customWidth="1"/>
    <col min="8" max="8" width="23.28515625" customWidth="1"/>
    <col min="9" max="9" width="16.42578125" bestFit="1" customWidth="1"/>
    <col min="10" max="10" width="21.5703125" bestFit="1" customWidth="1"/>
    <col min="11" max="11" width="9.5703125" customWidth="1"/>
    <col min="12" max="12" width="31.5703125" bestFit="1" customWidth="1"/>
  </cols>
  <sheetData>
    <row r="1" spans="2:12" x14ac:dyDescent="0.25">
      <c r="E1" t="s">
        <v>24</v>
      </c>
      <c r="G1" t="s">
        <v>25</v>
      </c>
    </row>
    <row r="2" spans="2:12" x14ac:dyDescent="0.25">
      <c r="B2">
        <v>10</v>
      </c>
      <c r="D2" t="s">
        <v>20</v>
      </c>
      <c r="E2">
        <f>10+2</f>
        <v>12</v>
      </c>
      <c r="G2">
        <f>B2+B3</f>
        <v>12</v>
      </c>
    </row>
    <row r="3" spans="2:12" ht="18" x14ac:dyDescent="0.35">
      <c r="B3">
        <v>2</v>
      </c>
      <c r="D3" t="s">
        <v>21</v>
      </c>
      <c r="E3" s="6">
        <f>10-2</f>
        <v>8</v>
      </c>
      <c r="G3">
        <f>B2-B3</f>
        <v>8</v>
      </c>
      <c r="K3" s="2"/>
    </row>
    <row r="4" spans="2:12" x14ac:dyDescent="0.25">
      <c r="D4" t="s">
        <v>22</v>
      </c>
      <c r="E4">
        <f>10*2</f>
        <v>20</v>
      </c>
      <c r="G4">
        <f>B2*B3</f>
        <v>20</v>
      </c>
    </row>
    <row r="5" spans="2:12" x14ac:dyDescent="0.25">
      <c r="D5" t="s">
        <v>23</v>
      </c>
      <c r="E5">
        <f>10/2</f>
        <v>5</v>
      </c>
      <c r="G5">
        <f>B2/B3</f>
        <v>5</v>
      </c>
    </row>
    <row r="6" spans="2:12" ht="20.25" customHeight="1" x14ac:dyDescent="0.25"/>
    <row r="7" spans="2:12" ht="22.5" customHeight="1" x14ac:dyDescent="0.25">
      <c r="D7" s="5" t="s">
        <v>2</v>
      </c>
      <c r="E7" s="5"/>
      <c r="F7" s="5"/>
      <c r="G7" s="5"/>
      <c r="H7" s="5"/>
      <c r="I7" s="5"/>
      <c r="J7" s="5"/>
      <c r="K7" s="5"/>
      <c r="L7" s="5"/>
    </row>
    <row r="8" spans="2:12" ht="18.75" customHeight="1" x14ac:dyDescent="0.25">
      <c r="D8" s="16" t="s">
        <v>3</v>
      </c>
      <c r="E8" s="16" t="s">
        <v>4</v>
      </c>
      <c r="F8" s="16" t="s">
        <v>5</v>
      </c>
      <c r="G8" s="16" t="s">
        <v>6</v>
      </c>
      <c r="H8" s="16" t="s">
        <v>15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2:12" ht="22.5" customHeight="1" x14ac:dyDescent="0.25">
      <c r="C9" s="13" t="s">
        <v>14</v>
      </c>
      <c r="D9" s="7" t="s">
        <v>7</v>
      </c>
      <c r="E9" s="7" t="s">
        <v>10</v>
      </c>
      <c r="F9" s="8">
        <v>4.5</v>
      </c>
      <c r="G9" s="9">
        <v>42024</v>
      </c>
      <c r="H9" s="7">
        <v>10</v>
      </c>
      <c r="I9" s="17">
        <f>F9+2.5</f>
        <v>7</v>
      </c>
      <c r="J9" s="7">
        <v>5</v>
      </c>
      <c r="K9" s="7">
        <f>H9-J9</f>
        <v>5</v>
      </c>
      <c r="L9" s="18">
        <f>(I9-F9)/I9</f>
        <v>0.35714285714285715</v>
      </c>
    </row>
    <row r="10" spans="2:12" ht="23.25" customHeight="1" x14ac:dyDescent="0.25">
      <c r="C10" s="14"/>
      <c r="D10" s="10" t="s">
        <v>8</v>
      </c>
      <c r="E10" s="10" t="s">
        <v>12</v>
      </c>
      <c r="F10" s="11">
        <v>7</v>
      </c>
      <c r="G10" s="12">
        <v>42025</v>
      </c>
      <c r="H10" s="10">
        <v>20</v>
      </c>
      <c r="I10" s="19">
        <f>F10+3</f>
        <v>10</v>
      </c>
      <c r="J10" s="10">
        <v>8</v>
      </c>
      <c r="K10" s="10">
        <f>H10-J10</f>
        <v>12</v>
      </c>
      <c r="L10" s="20">
        <f>(I10-F10)/I10</f>
        <v>0.3</v>
      </c>
    </row>
    <row r="11" spans="2:12" ht="28.5" customHeight="1" x14ac:dyDescent="0.25">
      <c r="C11" s="15"/>
      <c r="D11" s="7" t="s">
        <v>9</v>
      </c>
      <c r="E11" s="7" t="s">
        <v>11</v>
      </c>
      <c r="F11" s="8">
        <v>8</v>
      </c>
      <c r="G11" s="9">
        <v>42025</v>
      </c>
      <c r="H11" s="7">
        <v>25</v>
      </c>
      <c r="I11" s="17">
        <f>F11+6</f>
        <v>14</v>
      </c>
      <c r="J11" s="7">
        <v>17</v>
      </c>
      <c r="K11" s="7">
        <f>H11-J11</f>
        <v>8</v>
      </c>
      <c r="L11" s="18">
        <f>(I11-F11)/I11</f>
        <v>0.42857142857142855</v>
      </c>
    </row>
    <row r="12" spans="2:12" x14ac:dyDescent="0.25">
      <c r="C12" s="3"/>
    </row>
    <row r="17" spans="1:11" ht="28.5" customHeight="1" x14ac:dyDescent="0.25">
      <c r="A17" s="1" t="s">
        <v>13</v>
      </c>
      <c r="B17" s="1"/>
      <c r="C17" s="1"/>
      <c r="D17" s="1"/>
      <c r="K17" s="4"/>
    </row>
    <row r="22" spans="1:11" x14ac:dyDescent="0.25">
      <c r="E22" s="6"/>
    </row>
  </sheetData>
  <mergeCells count="3">
    <mergeCell ref="A17:D17"/>
    <mergeCell ref="C9:C11"/>
    <mergeCell ref="D7:L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969-EFD2-417B-84D2-C5467789402C}">
  <dimension ref="A1"/>
  <sheetViews>
    <sheetView workbookViewId="0">
      <selection activeCell="F21" sqref="F2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EB7F-BB9E-4220-A076-C6DF11E24DFE}">
  <dimension ref="D3:G7"/>
  <sheetViews>
    <sheetView workbookViewId="0">
      <selection activeCell="E8" sqref="E8"/>
    </sheetView>
  </sheetViews>
  <sheetFormatPr defaultRowHeight="15" x14ac:dyDescent="0.25"/>
  <cols>
    <col min="7" max="7" width="12.85546875" bestFit="1" customWidth="1"/>
  </cols>
  <sheetData>
    <row r="3" spans="4:7" x14ac:dyDescent="0.25">
      <c r="F3" t="s">
        <v>26</v>
      </c>
      <c r="G3" t="s">
        <v>27</v>
      </c>
    </row>
    <row r="4" spans="4:7" x14ac:dyDescent="0.25">
      <c r="D4">
        <v>5</v>
      </c>
      <c r="E4">
        <v>1</v>
      </c>
      <c r="F4">
        <f>SUM(D4:E7)</f>
        <v>16</v>
      </c>
      <c r="G4">
        <f>PRODUCT(D4:E7)</f>
        <v>60</v>
      </c>
    </row>
    <row r="5" spans="4:7" x14ac:dyDescent="0.25">
      <c r="D5">
        <v>3</v>
      </c>
      <c r="E5">
        <v>1</v>
      </c>
    </row>
    <row r="6" spans="4:7" x14ac:dyDescent="0.25">
      <c r="D6">
        <v>2</v>
      </c>
      <c r="E6">
        <v>1</v>
      </c>
    </row>
    <row r="7" spans="4:7" x14ac:dyDescent="0.25">
      <c r="D7">
        <v>1</v>
      </c>
      <c r="E7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Geral</vt:lpstr>
      <vt:lpstr>Cliente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2020-11-06T13:53:04Z</dcterms:created>
  <dcterms:modified xsi:type="dcterms:W3CDTF">2020-11-07T00:29:53Z</dcterms:modified>
</cp:coreProperties>
</file>