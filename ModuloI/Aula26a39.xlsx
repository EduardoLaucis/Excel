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eduar\Desktop\ExcelCurso\ModuloII\"/>
    </mc:Choice>
  </mc:AlternateContent>
  <xr:revisionPtr revIDLastSave="0" documentId="8_{DD31B07D-2231-41D8-B598-E3236792E4FA}" xr6:coauthVersionLast="46" xr6:coauthVersionMax="46" xr10:uidLastSave="{00000000-0000-0000-0000-000000000000}"/>
  <bookViews>
    <workbookView xWindow="-120" yWindow="-120" windowWidth="20730" windowHeight="11160" xr2:uid="{483E1B6D-B829-4839-BCF9-D881BF296BBC}"/>
  </bookViews>
  <sheets>
    <sheet name="Menu" sheetId="1" r:id="rId1"/>
    <sheet name="Geral" sheetId="3" r:id="rId2"/>
    <sheet name="Clientes" sheetId="4" r:id="rId3"/>
    <sheet name="Planilha1" sheetId="6" state="hidden" r:id="rId4"/>
    <sheet name="Planilha2" sheetId="7" state="hidden" r:id="rId5"/>
    <sheet name="Calendário" sheetId="5" r:id="rId6"/>
    <sheet name="Cálculos" sheetId="2" r:id="rId7"/>
  </sheets>
  <definedNames>
    <definedName name="_xlnm._FilterDatabase" localSheetId="6" hidden="1">Cálculos!$A$5:$G$21</definedName>
    <definedName name="_xlnm._FilterDatabase" localSheetId="2" hidden="1">Clientes!$D$8:$K$17</definedName>
    <definedName name="_xlnm._FilterDatabase" localSheetId="1" hidden="1">Geral!$B$9:$M$9</definedName>
    <definedName name="_xlnm._FilterDatabase" localSheetId="0" hidden="1">Menu!$K$3:$M$23</definedName>
    <definedName name="SegmentaçãodeDados_Fornecedor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C20" i="3"/>
  <c r="E20" i="3"/>
  <c r="F20" i="3"/>
  <c r="G20" i="3"/>
  <c r="I20" i="3"/>
  <c r="L20" i="3"/>
  <c r="M20" i="3"/>
  <c r="J19" i="3"/>
  <c r="J18" i="3"/>
  <c r="J17" i="3"/>
  <c r="J16" i="3"/>
  <c r="J15" i="3"/>
  <c r="J14" i="3"/>
  <c r="J13" i="3"/>
  <c r="D3" i="5" l="1"/>
  <c r="O3" i="5" s="1"/>
  <c r="N4" i="5" l="1"/>
  <c r="O4" i="5"/>
  <c r="E7" i="5" l="1"/>
  <c r="F7" i="5" s="1"/>
  <c r="G7" i="5" s="1"/>
  <c r="K10" i="4" l="1"/>
  <c r="K11" i="4"/>
  <c r="K12" i="4"/>
  <c r="K13" i="4"/>
  <c r="K14" i="4"/>
  <c r="K15" i="4"/>
  <c r="K16" i="4"/>
  <c r="K17" i="4"/>
  <c r="K9" i="4"/>
  <c r="I7" i="5" l="1"/>
  <c r="J7" i="5" s="1"/>
  <c r="K7" i="5" s="1"/>
  <c r="D4" i="7"/>
  <c r="D5" i="7"/>
  <c r="D6" i="7"/>
  <c r="D7" i="7"/>
  <c r="D8" i="7"/>
  <c r="D9" i="7"/>
  <c r="D4" i="6"/>
  <c r="D5" i="6"/>
  <c r="D6" i="6"/>
  <c r="D7" i="6"/>
  <c r="D8" i="6"/>
  <c r="D3" i="6"/>
  <c r="H10" i="3" l="1"/>
  <c r="J10" i="3"/>
  <c r="H12" i="3"/>
  <c r="K12" i="3" s="1"/>
  <c r="J12" i="3"/>
  <c r="K10" i="3" l="1"/>
  <c r="J11" i="3"/>
  <c r="H11" i="3" l="1"/>
  <c r="H20" i="3" s="1"/>
  <c r="K11" i="3" l="1"/>
</calcChain>
</file>

<file path=xl/sharedStrings.xml><?xml version="1.0" encoding="utf-8"?>
<sst xmlns="http://schemas.openxmlformats.org/spreadsheetml/2006/main" count="169" uniqueCount="136">
  <si>
    <t>Clientes</t>
  </si>
  <si>
    <t>Produtos</t>
  </si>
  <si>
    <t>Nome</t>
  </si>
  <si>
    <t>Fornecedor</t>
  </si>
  <si>
    <t>Preço de Compra</t>
  </si>
  <si>
    <t>Data de Compra</t>
  </si>
  <si>
    <t>Produto 1</t>
  </si>
  <si>
    <t>Produto 2</t>
  </si>
  <si>
    <t>Produto 3</t>
  </si>
  <si>
    <t>Fornecedor 2</t>
  </si>
  <si>
    <t>Fornecedor 3</t>
  </si>
  <si>
    <t>Fornecedor 1</t>
  </si>
  <si>
    <t>Quantidade Comprada</t>
  </si>
  <si>
    <t>Preço de Venda</t>
  </si>
  <si>
    <t>Quantidade Vendida</t>
  </si>
  <si>
    <t>Estoque</t>
  </si>
  <si>
    <t>Margem de Lucro por Produto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</si>
  <si>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</si>
  <si>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</si>
  <si>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</si>
  <si>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</si>
  <si>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</si>
  <si>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</si>
  <si>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</si>
  <si>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Telefone</t>
  </si>
  <si>
    <t>E-mail</t>
  </si>
  <si>
    <t>Cidade</t>
  </si>
  <si>
    <t>Tipo</t>
  </si>
  <si>
    <t>Data da última compra</t>
  </si>
  <si>
    <t>Beltrano 1</t>
  </si>
  <si>
    <t>Beltrano 2</t>
  </si>
  <si>
    <t>Beltrano 3</t>
  </si>
  <si>
    <t>Beltrano 4</t>
  </si>
  <si>
    <t>Beltrano 5</t>
  </si>
  <si>
    <t>Beltrano 6</t>
  </si>
  <si>
    <t>Beltrano 7</t>
  </si>
  <si>
    <t>Beltrano 8</t>
  </si>
  <si>
    <t>Beltrano 9</t>
  </si>
  <si>
    <t>90000-0000</t>
  </si>
  <si>
    <t>beltrano1@gmail</t>
  </si>
  <si>
    <t>beltrano2@gmail</t>
  </si>
  <si>
    <t>beltrano3@gmail</t>
  </si>
  <si>
    <t>beltrano4@gmail</t>
  </si>
  <si>
    <t>beltrano5@gmail</t>
  </si>
  <si>
    <t>beltrano6@gmail</t>
  </si>
  <si>
    <t>beltrano7@gmail</t>
  </si>
  <si>
    <t>beltrano8@gmail</t>
  </si>
  <si>
    <t>beltrano9@gmail</t>
  </si>
  <si>
    <t>Rio de Janeiro</t>
  </si>
  <si>
    <t>São Paulo</t>
  </si>
  <si>
    <t>Belo Horizonte</t>
  </si>
  <si>
    <t>Porto Alegre</t>
  </si>
  <si>
    <t>Florianópolis</t>
  </si>
  <si>
    <t>Recife</t>
  </si>
  <si>
    <t>Brasília</t>
  </si>
  <si>
    <t>Manaus</t>
  </si>
  <si>
    <t>Salvador</t>
  </si>
  <si>
    <t>Jurídica</t>
  </si>
  <si>
    <t>Física</t>
  </si>
  <si>
    <t>Lista de Produtos</t>
  </si>
  <si>
    <t>Preços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</si>
  <si>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</si>
  <si>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</si>
  <si>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</si>
  <si>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</si>
  <si>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</si>
  <si>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</si>
  <si>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</si>
  <si>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</si>
  <si>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</si>
  <si>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</si>
  <si>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</si>
  <si>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</si>
  <si>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</si>
  <si>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Lista de Fornecedores</t>
  </si>
  <si>
    <t>Fornecedor 4</t>
  </si>
  <si>
    <t>Fornecedor 5</t>
  </si>
  <si>
    <t>Fornecedor 6</t>
  </si>
  <si>
    <t>Fornecedor 7</t>
  </si>
  <si>
    <t>Fornecedor 8</t>
  </si>
  <si>
    <t>Fornecedor 9</t>
  </si>
  <si>
    <t>Fornecedor 10</t>
  </si>
  <si>
    <t>Fornecedor 11</t>
  </si>
  <si>
    <t>Fornecedor 12</t>
  </si>
  <si>
    <t>Fornecedor 13</t>
  </si>
  <si>
    <t>Fornecedor 14</t>
  </si>
  <si>
    <t>Fornecedor 15</t>
  </si>
  <si>
    <t>Fornecedor 16</t>
  </si>
  <si>
    <t>Fornecedor 17</t>
  </si>
  <si>
    <t>Lista de Funcionários</t>
  </si>
  <si>
    <t>Dias de trabalho do funcionário</t>
  </si>
  <si>
    <t>Funcionário</t>
  </si>
  <si>
    <t>Funcionário 1</t>
  </si>
  <si>
    <t>Funcionário 2</t>
  </si>
  <si>
    <t>Funcionário 3</t>
  </si>
  <si>
    <t>Funcionário 4</t>
  </si>
  <si>
    <t>Funcionário 5</t>
  </si>
  <si>
    <t>Funcionário 6</t>
  </si>
  <si>
    <t>Funcionário 7</t>
  </si>
  <si>
    <t>Funcionário 8</t>
  </si>
  <si>
    <t>Funcionário 9</t>
  </si>
  <si>
    <t>Funcionário 10</t>
  </si>
  <si>
    <t>Funcionário 11</t>
  </si>
  <si>
    <t>Funcionário 12</t>
  </si>
  <si>
    <t>Funcionário 13</t>
  </si>
  <si>
    <t>Funcionário 14</t>
  </si>
  <si>
    <t>Funcionário 15</t>
  </si>
  <si>
    <t>Funcionário 16</t>
  </si>
  <si>
    <t>Ver</t>
  </si>
  <si>
    <t>Defasagem</t>
  </si>
  <si>
    <t>Estoque Real</t>
  </si>
  <si>
    <t>Total de Produtos</t>
  </si>
  <si>
    <t>Cadastros Incompletos</t>
  </si>
  <si>
    <t>Vendedor</t>
  </si>
  <si>
    <t>Valor de Vendas</t>
  </si>
  <si>
    <t>João</t>
  </si>
  <si>
    <t>Julia</t>
  </si>
  <si>
    <t>Ana</t>
  </si>
  <si>
    <t>Carolina</t>
  </si>
  <si>
    <t>Marcos</t>
  </si>
  <si>
    <t>Arthur</t>
  </si>
  <si>
    <t>Bônus</t>
  </si>
  <si>
    <t>Meta</t>
  </si>
  <si>
    <t>Máximo</t>
  </si>
  <si>
    <t>Escala de bônus</t>
  </si>
  <si>
    <t>0 a 100</t>
  </si>
  <si>
    <t>100 a 200</t>
  </si>
  <si>
    <t>200 ou mais</t>
  </si>
  <si>
    <t>Data da penúltima compra</t>
  </si>
  <si>
    <t>Fazer Contato</t>
  </si>
  <si>
    <t>Hoje</t>
  </si>
  <si>
    <t>Mês Atual</t>
  </si>
  <si>
    <t>Dia da Semana do 1º dia do mês atual</t>
  </si>
  <si>
    <t>1º Dia do Mês Atual</t>
  </si>
  <si>
    <t>Nome do Fornecedor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</si>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</sst>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8"/>
      <color theme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5" fillId="3" borderId="1" xfId="1" applyBorder="1"/>
    <xf numFmtId="0" fontId="0" fillId="0" borderId="0" xfId="0" applyAlignment="1">
      <alignment horizontal="center" wrapText="1"/>
    </xf>
    <xf numFmtId="0" fontId="0" fillId="2" borderId="0" xfId="0" applyFill="1"/>
    <xf numFmtId="0" fontId="6" fillId="2" borderId="0" xfId="0" applyFont="1" applyFill="1"/>
    <xf numFmtId="14" fontId="0" fillId="0" borderId="0" xfId="0" applyNumberFormat="1"/>
    <xf numFmtId="2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4" fillId="0" borderId="0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10" xfId="0" applyFont="1" applyBorder="1"/>
    <xf numFmtId="0" fontId="10" fillId="0" borderId="13" xfId="0" applyFont="1" applyBorder="1"/>
    <xf numFmtId="0" fontId="3" fillId="4" borderId="5" xfId="2" applyBorder="1"/>
    <xf numFmtId="0" fontId="3" fillId="4" borderId="6" xfId="2" applyBorder="1"/>
    <xf numFmtId="0" fontId="3" fillId="4" borderId="7" xfId="2" applyBorder="1"/>
    <xf numFmtId="0" fontId="3" fillId="4" borderId="11" xfId="2" applyBorder="1"/>
    <xf numFmtId="0" fontId="3" fillId="4" borderId="3" xfId="2" applyBorder="1"/>
    <xf numFmtId="0" fontId="3" fillId="4" borderId="12" xfId="2" applyBorder="1"/>
    <xf numFmtId="0" fontId="5" fillId="3" borderId="8" xfId="1" applyBorder="1"/>
    <xf numFmtId="0" fontId="5" fillId="3" borderId="9" xfId="1" applyBorder="1"/>
    <xf numFmtId="0" fontId="2" fillId="2" borderId="0" xfId="0" applyFont="1" applyFill="1"/>
    <xf numFmtId="0" fontId="4" fillId="2" borderId="0" xfId="0" applyFont="1" applyFill="1"/>
    <xf numFmtId="0" fontId="4" fillId="0" borderId="0" xfId="0" applyFont="1"/>
    <xf numFmtId="16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22" fontId="0" fillId="0" borderId="0" xfId="0" applyNumberFormat="1"/>
    <xf numFmtId="14" fontId="11" fillId="0" borderId="0" xfId="0" applyNumberFormat="1" applyFont="1"/>
    <xf numFmtId="0" fontId="10" fillId="5" borderId="10" xfId="0" applyFont="1" applyFill="1" applyBorder="1"/>
    <xf numFmtId="0" fontId="0" fillId="0" borderId="0" xfId="0" applyBorder="1"/>
    <xf numFmtId="0" fontId="0" fillId="0" borderId="2" xfId="0" applyFill="1" applyBorder="1"/>
    <xf numFmtId="165" fontId="0" fillId="0" borderId="0" xfId="0" applyNumberFormat="1"/>
    <xf numFmtId="44" fontId="0" fillId="0" borderId="0" xfId="3" applyFont="1"/>
    <xf numFmtId="9" fontId="0" fillId="0" borderId="0" xfId="4" applyFont="1"/>
    <xf numFmtId="0" fontId="3" fillId="0" borderId="0" xfId="0" applyNumberFormat="1" applyFont="1"/>
    <xf numFmtId="44" fontId="0" fillId="0" borderId="0" xfId="0" applyNumberFormat="1" applyFont="1"/>
    <xf numFmtId="165" fontId="0" fillId="0" borderId="0" xfId="0" applyNumberFormat="1" applyBorder="1"/>
    <xf numFmtId="14" fontId="0" fillId="0" borderId="0" xfId="0" applyNumberFormat="1" applyBorder="1"/>
    <xf numFmtId="44" fontId="0" fillId="0" borderId="0" xfId="3" applyFont="1" applyBorder="1"/>
    <xf numFmtId="9" fontId="0" fillId="0" borderId="0" xfId="4" applyFont="1" applyBorder="1"/>
    <xf numFmtId="0" fontId="0" fillId="2" borderId="0" xfId="0" applyFont="1" applyFill="1"/>
    <xf numFmtId="0" fontId="12" fillId="5" borderId="14" xfId="0" applyFont="1" applyFill="1" applyBorder="1"/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center"/>
    </xf>
  </cellXfs>
  <cellStyles count="5">
    <cellStyle name="60% - Ênfase6" xfId="2" builtinId="52"/>
    <cellStyle name="Ênfase6" xfId="1" builtinId="49"/>
    <cellStyle name="Moeda" xfId="3" builtinId="4"/>
    <cellStyle name="Normal" xfId="0" builtinId="0"/>
    <cellStyle name="Porcentagem" xfId="4" builtinId="5"/>
  </cellStyles>
  <dxfs count="10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numFmt numFmtId="165" formatCode="&quot;R$&quot;\ #,##0.00"/>
    </dxf>
    <dxf>
      <numFmt numFmtId="165" formatCode="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Clientes!A1"/><Relationship Id="rId2" Type="http://schemas.openxmlformats.org/officeDocument/2006/relationships/hyperlink" Target="#Calend&#225;rio!A1"/><Relationship Id="rId1" Type="http://schemas.openxmlformats.org/officeDocument/2006/relationships/hyperlink" Target="#Geral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2</xdr:row>
      <xdr:rowOff>123825</xdr:rowOff>
    </xdr:from>
    <xdr:to>
      <xdr:col>5</xdr:col>
      <xdr:colOff>371475</xdr:colOff>
      <xdr:row>5</xdr:row>
      <xdr:rowOff>66675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6ADD39-3132-4C24-93EE-B229870D41A8}"/>
            </a:ext>
          </a:extLst>
        </xdr:cNvPr>
        <xdr:cNvSpPr/>
      </xdr:nvSpPr>
      <xdr:spPr>
        <a:xfrm>
          <a:off x="1476375" y="504825"/>
          <a:ext cx="1847850" cy="514350"/>
        </a:xfrm>
        <a:prstGeom prst="rect">
          <a:avLst/>
        </a:prstGeom>
        <a:noFill/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accent6">
                  <a:lumMod val="60000"/>
                  <a:lumOff val="40000"/>
                </a:schemeClr>
              </a:solidFill>
            </a:rPr>
            <a:t>Geral</a:t>
          </a:r>
          <a:endParaRPr lang="pt-BR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2</xdr:col>
      <xdr:colOff>161925</xdr:colOff>
      <xdr:row>6</xdr:row>
      <xdr:rowOff>19050</xdr:rowOff>
    </xdr:from>
    <xdr:to>
      <xdr:col>5</xdr:col>
      <xdr:colOff>371475</xdr:colOff>
      <xdr:row>8</xdr:row>
      <xdr:rowOff>152400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0C0AFD-FC99-4A99-B597-5B71867B0115}"/>
            </a:ext>
          </a:extLst>
        </xdr:cNvPr>
        <xdr:cNvSpPr/>
      </xdr:nvSpPr>
      <xdr:spPr>
        <a:xfrm>
          <a:off x="1476375" y="1162050"/>
          <a:ext cx="1847850" cy="514350"/>
        </a:xfrm>
        <a:prstGeom prst="rect">
          <a:avLst/>
        </a:prstGeom>
        <a:noFill/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accent6">
                  <a:lumMod val="60000"/>
                  <a:lumOff val="40000"/>
                </a:schemeClr>
              </a:solidFill>
            </a:rPr>
            <a:t>Calendário</a:t>
          </a:r>
          <a:endParaRPr lang="pt-BR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2</xdr:col>
      <xdr:colOff>152400</xdr:colOff>
      <xdr:row>10</xdr:row>
      <xdr:rowOff>9525</xdr:rowOff>
    </xdr:from>
    <xdr:to>
      <xdr:col>5</xdr:col>
      <xdr:colOff>361950</xdr:colOff>
      <xdr:row>12</xdr:row>
      <xdr:rowOff>142875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013D1A-F1AA-42F9-BE53-2F265F1F4134}"/>
            </a:ext>
          </a:extLst>
        </xdr:cNvPr>
        <xdr:cNvSpPr/>
      </xdr:nvSpPr>
      <xdr:spPr>
        <a:xfrm>
          <a:off x="1466850" y="1914525"/>
          <a:ext cx="1847850" cy="514350"/>
        </a:xfrm>
        <a:prstGeom prst="rect">
          <a:avLst/>
        </a:prstGeom>
        <a:noFill/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accent6">
                  <a:lumMod val="60000"/>
                  <a:lumOff val="40000"/>
                </a:schemeClr>
              </a:solidFill>
            </a:rPr>
            <a:t>Clientes</a:t>
          </a:r>
          <a:endParaRPr lang="pt-BR" sz="1100" b="1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716755</xdr:colOff>
      <xdr:row>4</xdr:row>
      <xdr:rowOff>92870</xdr:rowOff>
    </xdr:from>
    <xdr:to>
      <xdr:col>11</xdr:col>
      <xdr:colOff>833436</xdr:colOff>
      <xdr:row>7</xdr:row>
      <xdr:rowOff>11905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Fornecedor">
              <a:extLst>
                <a:ext uri="{FF2B5EF4-FFF2-40B4-BE49-F238E27FC236}">
                  <a16:creationId xmlns:a16="http://schemas.microsoft.com/office/drawing/2014/main" id="{EB696ABA-A12A-463F-919E-0464626478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nec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17693" y="569120"/>
              <a:ext cx="4986337" cy="6572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>
    <xdr:from>
      <xdr:col>10</xdr:col>
      <xdr:colOff>1047748</xdr:colOff>
      <xdr:row>1</xdr:row>
      <xdr:rowOff>23812</xdr:rowOff>
    </xdr:from>
    <xdr:to>
      <xdr:col>13</xdr:col>
      <xdr:colOff>392905</xdr:colOff>
      <xdr:row>3</xdr:row>
      <xdr:rowOff>23810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1419AC-6DC7-4591-922F-3ABA37F1C2D9}"/>
            </a:ext>
          </a:extLst>
        </xdr:cNvPr>
        <xdr:cNvSpPr/>
      </xdr:nvSpPr>
      <xdr:spPr>
        <a:xfrm>
          <a:off x="13656467" y="83343"/>
          <a:ext cx="1976438" cy="357186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Menu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1</xdr:row>
      <xdr:rowOff>28575</xdr:rowOff>
    </xdr:from>
    <xdr:to>
      <xdr:col>10</xdr:col>
      <xdr:colOff>957263</xdr:colOff>
      <xdr:row>3</xdr:row>
      <xdr:rowOff>33336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58123B-24F4-48F6-873A-2C13673C40B9}"/>
            </a:ext>
          </a:extLst>
        </xdr:cNvPr>
        <xdr:cNvSpPr/>
      </xdr:nvSpPr>
      <xdr:spPr>
        <a:xfrm>
          <a:off x="11906250" y="219075"/>
          <a:ext cx="1976438" cy="357186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Menu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421822</xdr:colOff>
      <xdr:row>0</xdr:row>
      <xdr:rowOff>258536</xdr:rowOff>
    </xdr:from>
    <xdr:to>
      <xdr:col>18</xdr:col>
      <xdr:colOff>561295</xdr:colOff>
      <xdr:row>3</xdr:row>
      <xdr:rowOff>17008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609A67-2840-44D4-B94E-1A17DA0611A9}"/>
            </a:ext>
          </a:extLst>
        </xdr:cNvPr>
        <xdr:cNvSpPr/>
      </xdr:nvSpPr>
      <xdr:spPr>
        <a:xfrm>
          <a:off x="12355286" y="258536"/>
          <a:ext cx="1976438" cy="357186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Menu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necedor" xr10:uid="{76D01A60-EA7A-43C9-A18A-24EF87B9C75F}" sourceName="Fornecedor">
  <extLst>
    <x:ext xmlns:x15="http://schemas.microsoft.com/office/spreadsheetml/2010/11/main" uri="{2F2917AC-EB37-4324-AD4E-5DD8C200BD13}">
      <x15:tableSlicerCache tableId="2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rnecedor" xr10:uid="{A530A124-E8B3-4ADF-B48C-09AB77E77976}" cache="SegmentaçãodeDados_Fornecedor" caption="Fornecedor" columnCount="4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64170A-7E28-473F-8071-23102E79B6C4}" name="TabelaGeral" displayName="TabelaGeral" ref="B9:M20" totalsRowCount="1">
  <autoFilter ref="B9:M19" xr:uid="{165F9EC3-C353-483A-A66C-950CE5CF1710}">
    <filterColumn colId="2">
      <filters blank="1"/>
    </filterColumn>
  </autoFilter>
  <tableColumns count="12">
    <tableColumn id="1" xr3:uid="{C381F735-982A-48D4-82A6-141848CD1DAC}" name="Ver" totalsRowLabel="Total"/>
    <tableColumn id="2" xr3:uid="{191E6AEF-4C29-477B-B6A9-01732F138FA5}" name="Nome" totalsRowFunction="count"/>
    <tableColumn id="3" xr3:uid="{F71CEB88-4A2A-4349-B127-A869806029B0}" name="Fornecedor"/>
    <tableColumn id="4" xr3:uid="{EA1AA6CD-AD5A-40DC-960F-14BDB4FA14F2}" name="Preço de Compra" totalsRowFunction="average" dataDxfId="9" totalsRowDxfId="8"/>
    <tableColumn id="5" xr3:uid="{8849BBF2-0057-47C6-B0DE-AA9EFFDD64BC}" name="Data de Compra" totalsRowFunction="average" dataDxfId="7" totalsRowDxfId="6"/>
    <tableColumn id="6" xr3:uid="{A4D638D4-8B4C-4C51-BAD1-4235DDB0084A}" name="Quantidade Comprada" totalsRowFunction="min"/>
    <tableColumn id="7" xr3:uid="{964D1EE2-D4A2-4F5A-9386-2FF5A22330AC}" name="Preço de Venda" totalsRowFunction="max" dataDxfId="5" totalsRowDxfId="4" dataCellStyle="Moeda"/>
    <tableColumn id="8" xr3:uid="{4BDF602D-6BA1-49AD-9B11-7C09D17FCD87}" name="Quantidade Vendida" totalsRowFunction="sum"/>
    <tableColumn id="9" xr3:uid="{5B28CD9B-6EFC-4A5C-9BE0-287BCE1344FE}" name="Estoque">
      <calculatedColumnFormula>G10-I10</calculatedColumnFormula>
    </tableColumn>
    <tableColumn id="10" xr3:uid="{67F0CD16-3BF2-4FF6-8C57-CFA72CE9D7F3}" name="Margem de Lucro por Produto" dataDxfId="3" totalsRowDxfId="2" dataCellStyle="Porcentagem"/>
    <tableColumn id="11" xr3:uid="{87EE44EF-5FEE-4E89-836F-72FBFA0261F9}" name="Estoque Real" totalsRowFunction="min"/>
    <tableColumn id="12" xr3:uid="{00924354-260F-449F-8A22-163DD972A4E3}" name="Defasagem" totalsRowFunction="sum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AD725B-A8E4-4BF2-9F8A-93FE6B13E869}" name="Tabela3" displayName="Tabela3" ref="D8:K17" totalsRowShown="0">
  <autoFilter ref="D8:K17" xr:uid="{7A0E333B-CE6C-405B-A175-CA1F92A88D69}"/>
  <tableColumns count="8">
    <tableColumn id="1" xr3:uid="{715C2484-0E1E-4EE1-862F-D8E73A9EB748}" name="Nome"/>
    <tableColumn id="2" xr3:uid="{2E6F0EF8-E18B-42D1-9D0A-1F3E2880A910}" name="Telefone"/>
    <tableColumn id="3" xr3:uid="{AA7D787D-2A1A-4D44-BA20-35C501EEBB0C}" name="E-mail"/>
    <tableColumn id="4" xr3:uid="{5C40EA28-3399-48D0-A14C-D6CE2C642B3D}" name="Cidade"/>
    <tableColumn id="5" xr3:uid="{09E51F89-268C-4B71-A952-4AD6B23923A3}" name="Tipo"/>
    <tableColumn id="6" xr3:uid="{F831D5EA-809C-4170-8D8B-8B886E9F065A}" name="Data da penúltima compra" dataDxfId="1"/>
    <tableColumn id="7" xr3:uid="{1B57EBB7-21DA-409C-A2ED-24E7901BD9F2}" name="Data da última compra" dataDxfId="0"/>
    <tableColumn id="8" xr3:uid="{5AA93E6E-43D6-48AE-8F62-BA7506CBAB0C}" name="Fazer Contato">
      <calculatedColumnFormula>IF(TODAY()-J9&gt;J9-I9,"Sim","Não")</calculatedColumnFormula>
    </tableColumn>
  </tableColumns>
  <tableStyleInfo name="TableStyleMedium14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eltrano4@gmail" TargetMode="External"/><Relationship Id="rId3" Type="http://schemas.openxmlformats.org/officeDocument/2006/relationships/hyperlink" Target="mailto:beltrano3@gmail" TargetMode="External"/><Relationship Id="rId7" Type="http://schemas.openxmlformats.org/officeDocument/2006/relationships/hyperlink" Target="mailto:beltrano5@gmail" TargetMode="External"/><Relationship Id="rId12" Type="http://schemas.openxmlformats.org/officeDocument/2006/relationships/table" Target="../tables/table2.xml"/><Relationship Id="rId2" Type="http://schemas.openxmlformats.org/officeDocument/2006/relationships/hyperlink" Target="mailto:beltrano2@gmail" TargetMode="External"/><Relationship Id="rId1" Type="http://schemas.openxmlformats.org/officeDocument/2006/relationships/hyperlink" Target="mailto:beltrano1@gmail" TargetMode="External"/><Relationship Id="rId6" Type="http://schemas.openxmlformats.org/officeDocument/2006/relationships/hyperlink" Target="mailto:beltrano6@gmail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mailto:beltrano7@gmail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mailto:beltrano8@gmail" TargetMode="External"/><Relationship Id="rId9" Type="http://schemas.openxmlformats.org/officeDocument/2006/relationships/hyperlink" Target="mailto:beltrano9@gmai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71F7-D809-4883-BC2F-1BA93420017C}">
  <dimension ref="B5:C5"/>
  <sheetViews>
    <sheetView showGridLines="0" showRowColHeaders="0" tabSelected="1" workbookViewId="0">
      <selection activeCell="E25" sqref="E25"/>
    </sheetView>
  </sheetViews>
  <sheetFormatPr defaultRowHeight="15" x14ac:dyDescent="0.25"/>
  <cols>
    <col min="2" max="2" width="10.5703125" bestFit="1" customWidth="1"/>
    <col min="5" max="5" width="6.28515625" customWidth="1"/>
    <col min="6" max="6" width="12.42578125" bestFit="1" customWidth="1"/>
    <col min="8" max="8" width="12.42578125" bestFit="1" customWidth="1"/>
    <col min="10" max="10" width="11.85546875" bestFit="1" customWidth="1"/>
    <col min="11" max="11" width="10.5703125" bestFit="1" customWidth="1"/>
  </cols>
  <sheetData>
    <row r="5" spans="2:3" x14ac:dyDescent="0.25">
      <c r="B5" s="46"/>
      <c r="C5" s="46"/>
    </row>
  </sheetData>
  <sortState xmlns:xlrd2="http://schemas.microsoft.com/office/spreadsheetml/2017/richdata2" ref="K4:K23">
    <sortCondition ref="K4:K23"/>
  </sortState>
  <mergeCells count="1">
    <mergeCell ref="B5:C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74D8-15AC-4C56-9B9C-92DE12A46B23}">
  <dimension ref="A1:BF20"/>
  <sheetViews>
    <sheetView showGridLines="0" zoomScale="80" zoomScaleNormal="80" workbookViewId="0"/>
  </sheetViews>
  <sheetFormatPr defaultRowHeight="15" x14ac:dyDescent="0.25"/>
  <cols>
    <col min="1" max="1" width="11.85546875" bestFit="1" customWidth="1"/>
    <col min="2" max="2" width="10.28515625" bestFit="1" customWidth="1"/>
    <col min="3" max="3" width="14.5703125" bestFit="1" customWidth="1"/>
    <col min="4" max="4" width="13.85546875" bestFit="1" customWidth="1"/>
    <col min="5" max="5" width="19.140625" bestFit="1" customWidth="1"/>
    <col min="6" max="6" width="18.5703125" bestFit="1" customWidth="1"/>
    <col min="7" max="7" width="24.140625" bestFit="1" customWidth="1"/>
    <col min="8" max="8" width="18.85546875" bestFit="1" customWidth="1"/>
    <col min="9" max="9" width="11.42578125" bestFit="1" customWidth="1"/>
    <col min="10" max="10" width="11.85546875" customWidth="1"/>
    <col min="11" max="11" width="30.85546875" bestFit="1" customWidth="1"/>
    <col min="12" max="12" width="15.5703125" bestFit="1" customWidth="1"/>
    <col min="13" max="13" width="14.28515625" bestFit="1" customWidth="1"/>
  </cols>
  <sheetData>
    <row r="1" spans="1:58" ht="4.5" customHeight="1" x14ac:dyDescent="0.25"/>
    <row r="2" spans="1:58" ht="5.0999999999999996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23.25" x14ac:dyDescent="0.35">
      <c r="A3" s="3"/>
      <c r="B3" s="3"/>
      <c r="C3" s="4" t="s">
        <v>1</v>
      </c>
      <c r="D3" s="3"/>
      <c r="E3" s="3"/>
      <c r="F3" s="3"/>
      <c r="G3" s="3"/>
      <c r="H3" s="24" t="s">
        <v>111</v>
      </c>
      <c r="I3" s="25"/>
      <c r="J3" s="4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ht="5.0999999999999996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ht="22.5" customHeight="1" x14ac:dyDescent="0.25"/>
    <row r="6" spans="1:58" ht="20.25" customHeight="1" x14ac:dyDescent="0.25"/>
    <row r="8" spans="1:58" ht="18.75" customHeight="1" x14ac:dyDescent="0.25"/>
    <row r="9" spans="1:58" ht="22.5" customHeight="1" x14ac:dyDescent="0.25">
      <c r="B9" t="s">
        <v>108</v>
      </c>
      <c r="C9" t="s">
        <v>2</v>
      </c>
      <c r="D9" t="s">
        <v>3</v>
      </c>
      <c r="E9" t="s">
        <v>4</v>
      </c>
      <c r="F9" t="s">
        <v>5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110</v>
      </c>
      <c r="M9" t="s">
        <v>109</v>
      </c>
    </row>
    <row r="10" spans="1:58" ht="23.25" hidden="1" customHeight="1" x14ac:dyDescent="0.25">
      <c r="C10" t="s">
        <v>7</v>
      </c>
      <c r="D10" t="s">
        <v>11</v>
      </c>
      <c r="E10" s="35">
        <v>7</v>
      </c>
      <c r="F10" s="5">
        <v>42025</v>
      </c>
      <c r="G10">
        <v>20</v>
      </c>
      <c r="H10" s="36">
        <f>E10+3</f>
        <v>10</v>
      </c>
      <c r="I10">
        <v>8</v>
      </c>
      <c r="J10">
        <f t="shared" ref="J10:J19" si="0">G10-I10</f>
        <v>12</v>
      </c>
      <c r="K10" s="37">
        <f>(H10-E10)/H10</f>
        <v>0.3</v>
      </c>
      <c r="L10">
        <v>12</v>
      </c>
      <c r="M10">
        <v>0</v>
      </c>
    </row>
    <row r="11" spans="1:58" hidden="1" x14ac:dyDescent="0.25">
      <c r="C11" t="s">
        <v>6</v>
      </c>
      <c r="D11" t="s">
        <v>9</v>
      </c>
      <c r="E11" s="35">
        <v>4.5</v>
      </c>
      <c r="F11" s="5">
        <v>42024</v>
      </c>
      <c r="G11">
        <v>10</v>
      </c>
      <c r="H11" s="36">
        <f>E11+2.5</f>
        <v>7</v>
      </c>
      <c r="I11">
        <v>5</v>
      </c>
      <c r="J11">
        <f t="shared" si="0"/>
        <v>5</v>
      </c>
      <c r="K11" s="37">
        <f>(H11-E11)/H11</f>
        <v>0.35714285714285715</v>
      </c>
      <c r="L11">
        <v>5</v>
      </c>
      <c r="M11">
        <v>0</v>
      </c>
    </row>
    <row r="12" spans="1:58" hidden="1" x14ac:dyDescent="0.25">
      <c r="C12" t="s">
        <v>8</v>
      </c>
      <c r="D12" t="s">
        <v>10</v>
      </c>
      <c r="E12" s="35">
        <v>8</v>
      </c>
      <c r="F12" s="5">
        <v>42025</v>
      </c>
      <c r="G12">
        <v>25</v>
      </c>
      <c r="H12" s="36">
        <f>E12+6</f>
        <v>14</v>
      </c>
      <c r="I12">
        <v>17</v>
      </c>
      <c r="J12">
        <f t="shared" si="0"/>
        <v>8</v>
      </c>
      <c r="K12" s="37">
        <f>(H12-E12)/H12</f>
        <v>0.42857142857142855</v>
      </c>
      <c r="L12">
        <v>7</v>
      </c>
      <c r="M12">
        <v>1</v>
      </c>
    </row>
    <row r="13" spans="1:58" hidden="1" x14ac:dyDescent="0.25">
      <c r="D13" t="s">
        <v>75</v>
      </c>
      <c r="E13" s="35"/>
      <c r="F13" s="5"/>
      <c r="H13" s="36"/>
      <c r="J13">
        <f t="shared" si="0"/>
        <v>0</v>
      </c>
      <c r="K13" s="37"/>
    </row>
    <row r="14" spans="1:58" x14ac:dyDescent="0.25">
      <c r="E14" s="35"/>
      <c r="F14" s="5"/>
      <c r="H14" s="36"/>
      <c r="J14">
        <f t="shared" si="0"/>
        <v>0</v>
      </c>
      <c r="K14" s="37"/>
    </row>
    <row r="15" spans="1:58" x14ac:dyDescent="0.25">
      <c r="E15" s="35"/>
      <c r="F15" s="5"/>
      <c r="H15" s="36"/>
      <c r="J15">
        <f t="shared" si="0"/>
        <v>0</v>
      </c>
      <c r="K15" s="37"/>
    </row>
    <row r="16" spans="1:58" ht="21" customHeight="1" x14ac:dyDescent="0.25">
      <c r="E16" s="35"/>
      <c r="F16" s="5"/>
      <c r="H16" s="36"/>
      <c r="J16">
        <f t="shared" si="0"/>
        <v>0</v>
      </c>
      <c r="K16" s="37"/>
    </row>
    <row r="17" spans="2:13" ht="22.5" customHeight="1" x14ac:dyDescent="0.25">
      <c r="E17" s="35"/>
      <c r="F17" s="5"/>
      <c r="H17" s="36"/>
      <c r="J17">
        <f t="shared" si="0"/>
        <v>0</v>
      </c>
      <c r="K17" s="37"/>
    </row>
    <row r="18" spans="2:13" x14ac:dyDescent="0.25">
      <c r="E18" s="35"/>
      <c r="H18" s="36"/>
      <c r="J18">
        <f t="shared" si="0"/>
        <v>0</v>
      </c>
      <c r="K18" s="37"/>
    </row>
    <row r="19" spans="2:13" x14ac:dyDescent="0.25">
      <c r="B19" s="33"/>
      <c r="C19" s="33"/>
      <c r="D19" s="33"/>
      <c r="E19" s="40"/>
      <c r="F19" s="41"/>
      <c r="G19" s="33"/>
      <c r="H19" s="42"/>
      <c r="I19" s="33"/>
      <c r="J19">
        <f t="shared" si="0"/>
        <v>0</v>
      </c>
      <c r="K19" s="43"/>
      <c r="L19" s="33"/>
      <c r="M19" s="33"/>
    </row>
    <row r="20" spans="2:13" x14ac:dyDescent="0.25">
      <c r="B20" t="s">
        <v>135</v>
      </c>
      <c r="C20">
        <f>SUBTOTAL(103,TabelaGeral[Nome])</f>
        <v>0</v>
      </c>
      <c r="E20" s="35" t="e">
        <f>SUBTOTAL(101,TabelaGeral[Preço de Compra])</f>
        <v>#DIV/0!</v>
      </c>
      <c r="F20" s="5" t="e">
        <f>SUBTOTAL(101,TabelaGeral[Data de Compra])</f>
        <v>#DIV/0!</v>
      </c>
      <c r="G20">
        <f>SUBTOTAL(105,TabelaGeral[Quantidade Comprada])</f>
        <v>0</v>
      </c>
      <c r="H20" s="39">
        <f>SUBTOTAL(104,TabelaGeral[Preço de Venda])</f>
        <v>0</v>
      </c>
      <c r="I20">
        <f>SUBTOTAL(109,TabelaGeral[Quantidade Vendida])</f>
        <v>0</v>
      </c>
      <c r="K20" s="38"/>
      <c r="L20">
        <f>SUBTOTAL(105,TabelaGeral[Estoque Real])</f>
        <v>0</v>
      </c>
      <c r="M20">
        <f>SUBTOTAL(109,TabelaGeral[Defasagem])</f>
        <v>0</v>
      </c>
    </row>
  </sheetData>
  <sortState xmlns:xlrd2="http://schemas.microsoft.com/office/spreadsheetml/2017/richdata2" ref="B10:M18">
    <sortCondition ref="K10:K18"/>
  </sortState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1969-EFD2-417B-84D2-C5467789402C}">
  <dimension ref="A2:BF19"/>
  <sheetViews>
    <sheetView topLeftCell="C1" workbookViewId="0">
      <selection activeCell="J7" sqref="J7"/>
    </sheetView>
  </sheetViews>
  <sheetFormatPr defaultRowHeight="15" x14ac:dyDescent="0.25"/>
  <cols>
    <col min="3" max="3" width="11.85546875" customWidth="1"/>
    <col min="4" max="6" width="26.140625" customWidth="1"/>
    <col min="7" max="7" width="20.85546875" customWidth="1"/>
    <col min="8" max="8" width="12.85546875" customWidth="1"/>
    <col min="9" max="9" width="27.7109375" bestFit="1" customWidth="1"/>
    <col min="10" max="10" width="23.85546875" bestFit="1" customWidth="1"/>
    <col min="11" max="11" width="15.28515625" customWidth="1"/>
  </cols>
  <sheetData>
    <row r="2" spans="1:58" ht="5.0999999999999996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23.25" x14ac:dyDescent="0.35">
      <c r="A3" s="3"/>
      <c r="B3" s="3"/>
      <c r="C3" s="4" t="s">
        <v>0</v>
      </c>
      <c r="D3" s="3"/>
      <c r="E3" s="3"/>
      <c r="F3" s="3"/>
      <c r="G3" s="24" t="s">
        <v>112</v>
      </c>
      <c r="H3" s="24">
        <f>COUNTBLANK(D9:I17)</f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ht="5.0999999999999996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6" spans="1:58" x14ac:dyDescent="0.25">
      <c r="J6" s="5"/>
    </row>
    <row r="8" spans="1:58" x14ac:dyDescent="0.25">
      <c r="D8" t="s">
        <v>2</v>
      </c>
      <c r="E8" t="s">
        <v>24</v>
      </c>
      <c r="F8" t="s">
        <v>25</v>
      </c>
      <c r="G8" t="s">
        <v>26</v>
      </c>
      <c r="H8" t="s">
        <v>27</v>
      </c>
      <c r="I8" t="s">
        <v>128</v>
      </c>
      <c r="J8" t="s">
        <v>28</v>
      </c>
      <c r="K8" t="s">
        <v>129</v>
      </c>
    </row>
    <row r="9" spans="1:58" x14ac:dyDescent="0.25">
      <c r="D9" t="s">
        <v>29</v>
      </c>
      <c r="E9" t="s">
        <v>38</v>
      </c>
      <c r="F9" t="s">
        <v>39</v>
      </c>
      <c r="G9" t="s">
        <v>48</v>
      </c>
      <c r="H9" t="s">
        <v>57</v>
      </c>
      <c r="I9" s="5">
        <v>41684</v>
      </c>
      <c r="J9" s="5">
        <v>44149</v>
      </c>
      <c r="K9" t="str">
        <f ca="1">IF(TODAY()-J9&gt;J9-I9,"Sim","Não")</f>
        <v>Não</v>
      </c>
    </row>
    <row r="10" spans="1:58" x14ac:dyDescent="0.25">
      <c r="D10" t="s">
        <v>30</v>
      </c>
      <c r="E10" t="s">
        <v>38</v>
      </c>
      <c r="F10" t="s">
        <v>40</v>
      </c>
      <c r="G10" t="s">
        <v>49</v>
      </c>
      <c r="H10" t="s">
        <v>57</v>
      </c>
      <c r="I10" s="5">
        <v>41684</v>
      </c>
      <c r="J10" s="5">
        <v>41712</v>
      </c>
      <c r="K10" t="str">
        <f t="shared" ref="K10:K17" ca="1" si="0">IF(TODAY()-J10&gt;J10-I10,"Sim","Não")</f>
        <v>Sim</v>
      </c>
    </row>
    <row r="11" spans="1:58" x14ac:dyDescent="0.25">
      <c r="D11" t="s">
        <v>31</v>
      </c>
      <c r="E11" t="s">
        <v>38</v>
      </c>
      <c r="F11" t="s">
        <v>41</v>
      </c>
      <c r="G11" t="s">
        <v>50</v>
      </c>
      <c r="H11" t="s">
        <v>57</v>
      </c>
      <c r="I11" s="5">
        <v>41684</v>
      </c>
      <c r="J11" s="5">
        <v>41712</v>
      </c>
      <c r="K11" t="str">
        <f t="shared" ca="1" si="0"/>
        <v>Sim</v>
      </c>
    </row>
    <row r="12" spans="1:58" x14ac:dyDescent="0.25">
      <c r="D12" t="s">
        <v>32</v>
      </c>
      <c r="E12" t="s">
        <v>38</v>
      </c>
      <c r="F12" t="s">
        <v>42</v>
      </c>
      <c r="G12" t="s">
        <v>51</v>
      </c>
      <c r="H12" t="s">
        <v>57</v>
      </c>
      <c r="I12" s="5">
        <v>41684</v>
      </c>
      <c r="J12" s="5">
        <v>41712</v>
      </c>
      <c r="K12" t="str">
        <f t="shared" ca="1" si="0"/>
        <v>Sim</v>
      </c>
    </row>
    <row r="13" spans="1:58" x14ac:dyDescent="0.25">
      <c r="D13" t="s">
        <v>33</v>
      </c>
      <c r="E13" t="s">
        <v>38</v>
      </c>
      <c r="F13" t="s">
        <v>43</v>
      </c>
      <c r="G13" t="s">
        <v>52</v>
      </c>
      <c r="H13" t="s">
        <v>57</v>
      </c>
      <c r="I13" s="5">
        <v>41684</v>
      </c>
      <c r="J13" s="5">
        <v>41712</v>
      </c>
      <c r="K13" t="str">
        <f t="shared" ca="1" si="0"/>
        <v>Sim</v>
      </c>
    </row>
    <row r="14" spans="1:58" x14ac:dyDescent="0.25">
      <c r="D14" t="s">
        <v>34</v>
      </c>
      <c r="E14" t="s">
        <v>38</v>
      </c>
      <c r="F14" t="s">
        <v>44</v>
      </c>
      <c r="G14" t="s">
        <v>53</v>
      </c>
      <c r="H14" t="s">
        <v>57</v>
      </c>
      <c r="I14" s="5">
        <v>41684</v>
      </c>
      <c r="J14" s="5">
        <v>41712</v>
      </c>
      <c r="K14" t="str">
        <f t="shared" ca="1" si="0"/>
        <v>Sim</v>
      </c>
    </row>
    <row r="15" spans="1:58" x14ac:dyDescent="0.25">
      <c r="D15" t="s">
        <v>35</v>
      </c>
      <c r="E15" t="s">
        <v>38</v>
      </c>
      <c r="F15" t="s">
        <v>45</v>
      </c>
      <c r="G15" t="s">
        <v>54</v>
      </c>
      <c r="H15" t="s">
        <v>58</v>
      </c>
      <c r="I15" s="5">
        <v>41684</v>
      </c>
      <c r="J15" s="5">
        <v>41712</v>
      </c>
      <c r="K15" t="str">
        <f t="shared" ca="1" si="0"/>
        <v>Sim</v>
      </c>
    </row>
    <row r="16" spans="1:58" x14ac:dyDescent="0.25">
      <c r="D16" t="s">
        <v>36</v>
      </c>
      <c r="E16" t="s">
        <v>38</v>
      </c>
      <c r="F16" t="s">
        <v>46</v>
      </c>
      <c r="G16" t="s">
        <v>55</v>
      </c>
      <c r="H16" t="s">
        <v>58</v>
      </c>
      <c r="I16" s="5">
        <v>41684</v>
      </c>
      <c r="J16" s="5">
        <v>41712</v>
      </c>
      <c r="K16" t="str">
        <f t="shared" ca="1" si="0"/>
        <v>Sim</v>
      </c>
    </row>
    <row r="17" spans="4:11" x14ac:dyDescent="0.25">
      <c r="D17" t="s">
        <v>37</v>
      </c>
      <c r="E17" t="s">
        <v>38</v>
      </c>
      <c r="F17" t="s">
        <v>47</v>
      </c>
      <c r="G17" t="s">
        <v>56</v>
      </c>
      <c r="H17" t="s">
        <v>58</v>
      </c>
      <c r="I17" s="5">
        <v>41684</v>
      </c>
      <c r="J17" s="5">
        <v>41712</v>
      </c>
      <c r="K17" t="str">
        <f t="shared" ca="1" si="0"/>
        <v>Sim</v>
      </c>
    </row>
    <row r="18" spans="4:11" x14ac:dyDescent="0.25">
      <c r="I18" s="6"/>
    </row>
    <row r="19" spans="4:11" x14ac:dyDescent="0.25">
      <c r="I19" s="5"/>
    </row>
  </sheetData>
  <phoneticPr fontId="1" type="noConversion"/>
  <hyperlinks>
    <hyperlink ref="F9" r:id="rId1" xr:uid="{B55FEEE4-802C-45A6-BB82-DBD34F4BD4E4}"/>
    <hyperlink ref="F10" r:id="rId2" xr:uid="{FEACB03B-2D0E-4962-9BA2-DB2FD1A9636E}"/>
    <hyperlink ref="F11" r:id="rId3" xr:uid="{38176A9B-36BA-477D-A0E1-35BBAE312744}"/>
    <hyperlink ref="F16" r:id="rId4" xr:uid="{91A6D7F5-145D-4BEC-B82D-C68A2C8C6FEE}"/>
    <hyperlink ref="F15" r:id="rId5" xr:uid="{FB07A420-4947-4C3C-B318-28309EC84220}"/>
    <hyperlink ref="F14" r:id="rId6" xr:uid="{CD7A41B0-0C92-49F1-9B6D-ADB07118222C}"/>
    <hyperlink ref="F13" r:id="rId7" xr:uid="{A70EEF5B-FB15-4A09-B770-64F087E5B021}"/>
    <hyperlink ref="F12" r:id="rId8" xr:uid="{873D4B57-AEA0-47E0-B775-FFA32DE73998}"/>
    <hyperlink ref="F17" r:id="rId9" xr:uid="{6EFD89F6-D9A8-4D9F-8A89-973558B6A58F}"/>
  </hyperlinks>
  <pageMargins left="0.511811024" right="0.511811024" top="0.78740157499999996" bottom="0.78740157499999996" header="0.31496062000000002" footer="0.31496062000000002"/>
  <pageSetup paperSize="9" orientation="portrait" r:id="rId10"/>
  <drawing r:id="rId11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3009-F565-4A94-AF2B-DAA563865D3B}">
  <dimension ref="B2:H8"/>
  <sheetViews>
    <sheetView zoomScale="130" zoomScaleNormal="130" workbookViewId="0">
      <selection activeCell="B2" sqref="B2:C8"/>
    </sheetView>
  </sheetViews>
  <sheetFormatPr defaultRowHeight="15" x14ac:dyDescent="0.25"/>
  <cols>
    <col min="2" max="2" width="9.85546875" bestFit="1" customWidth="1"/>
    <col min="3" max="3" width="15.5703125" bestFit="1" customWidth="1"/>
    <col min="4" max="4" width="16.28515625" bestFit="1" customWidth="1"/>
  </cols>
  <sheetData>
    <row r="2" spans="2:8" x14ac:dyDescent="0.25">
      <c r="B2" s="26" t="s">
        <v>113</v>
      </c>
      <c r="C2" s="26" t="s">
        <v>114</v>
      </c>
      <c r="D2" s="26" t="s">
        <v>121</v>
      </c>
      <c r="G2" s="26" t="s">
        <v>122</v>
      </c>
      <c r="H2" s="26" t="s">
        <v>123</v>
      </c>
    </row>
    <row r="3" spans="2:8" x14ac:dyDescent="0.25">
      <c r="B3" t="s">
        <v>115</v>
      </c>
      <c r="C3" s="27">
        <v>100</v>
      </c>
      <c r="D3" t="str">
        <f>IF(AND(C3&gt;$G$3,C3&lt;$H$3),"Ganha bônus","Não ganha bônus")</f>
        <v>Ganha bônus</v>
      </c>
      <c r="G3">
        <v>70</v>
      </c>
      <c r="H3">
        <v>400</v>
      </c>
    </row>
    <row r="4" spans="2:8" x14ac:dyDescent="0.25">
      <c r="B4" t="s">
        <v>116</v>
      </c>
      <c r="C4" s="27">
        <v>175</v>
      </c>
      <c r="D4" t="str">
        <f t="shared" ref="D4:D8" si="0">IF(AND(C4&gt;$G$3,C4&lt;$H$3),"Ganha bônus","Não ganha bônus")</f>
        <v>Ganha bônus</v>
      </c>
    </row>
    <row r="5" spans="2:8" x14ac:dyDescent="0.25">
      <c r="B5" t="s">
        <v>117</v>
      </c>
      <c r="C5" s="27">
        <v>300</v>
      </c>
      <c r="D5" t="str">
        <f t="shared" si="0"/>
        <v>Ganha bônus</v>
      </c>
    </row>
    <row r="6" spans="2:8" x14ac:dyDescent="0.25">
      <c r="B6" t="s">
        <v>118</v>
      </c>
      <c r="C6" s="27">
        <v>26</v>
      </c>
      <c r="D6" t="str">
        <f t="shared" si="0"/>
        <v>Não ganha bônus</v>
      </c>
    </row>
    <row r="7" spans="2:8" x14ac:dyDescent="0.25">
      <c r="B7" t="s">
        <v>119</v>
      </c>
      <c r="C7" s="27">
        <v>55</v>
      </c>
      <c r="D7" t="str">
        <f t="shared" si="0"/>
        <v>Não ganha bônus</v>
      </c>
    </row>
    <row r="8" spans="2:8" x14ac:dyDescent="0.25">
      <c r="B8" t="s">
        <v>120</v>
      </c>
      <c r="C8" s="27">
        <v>79</v>
      </c>
      <c r="D8" t="str">
        <f t="shared" si="0"/>
        <v>Ganha bônus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0F3D-B843-4972-9D26-007C6C62F3B4}">
  <dimension ref="B3:G9"/>
  <sheetViews>
    <sheetView workbookViewId="0">
      <selection activeCell="D4" sqref="D4"/>
    </sheetView>
  </sheetViews>
  <sheetFormatPr defaultRowHeight="15" x14ac:dyDescent="0.25"/>
  <cols>
    <col min="2" max="2" width="9.85546875" bestFit="1" customWidth="1"/>
    <col min="3" max="3" width="15.5703125" bestFit="1" customWidth="1"/>
    <col min="6" max="6" width="15" bestFit="1" customWidth="1"/>
    <col min="7" max="7" width="10.5703125" bestFit="1" customWidth="1"/>
  </cols>
  <sheetData>
    <row r="3" spans="2:7" x14ac:dyDescent="0.25">
      <c r="B3" s="26" t="s">
        <v>113</v>
      </c>
      <c r="C3" s="26" t="s">
        <v>114</v>
      </c>
      <c r="D3" s="26" t="s">
        <v>121</v>
      </c>
      <c r="F3" s="26" t="s">
        <v>124</v>
      </c>
    </row>
    <row r="4" spans="2:7" x14ac:dyDescent="0.25">
      <c r="B4" t="s">
        <v>115</v>
      </c>
      <c r="C4" s="27">
        <v>100</v>
      </c>
      <c r="D4">
        <f>IF(C4&lt;100,0,IF(C4&lt;200,500,750))</f>
        <v>500</v>
      </c>
      <c r="F4" t="s">
        <v>125</v>
      </c>
      <c r="G4" s="27">
        <v>0</v>
      </c>
    </row>
    <row r="5" spans="2:7" x14ac:dyDescent="0.25">
      <c r="B5" t="s">
        <v>116</v>
      </c>
      <c r="C5" s="27">
        <v>175</v>
      </c>
      <c r="D5">
        <f t="shared" ref="D5:D9" si="0">IF(C5&lt;100,0,IF(C5&lt;200,500,750))</f>
        <v>500</v>
      </c>
      <c r="F5" t="s">
        <v>126</v>
      </c>
      <c r="G5" s="27">
        <v>500</v>
      </c>
    </row>
    <row r="6" spans="2:7" x14ac:dyDescent="0.25">
      <c r="B6" t="s">
        <v>117</v>
      </c>
      <c r="C6" s="27">
        <v>300</v>
      </c>
      <c r="D6">
        <f t="shared" si="0"/>
        <v>750</v>
      </c>
      <c r="F6" t="s">
        <v>127</v>
      </c>
      <c r="G6" s="27">
        <v>750</v>
      </c>
    </row>
    <row r="7" spans="2:7" x14ac:dyDescent="0.25">
      <c r="B7" t="s">
        <v>118</v>
      </c>
      <c r="C7" s="27">
        <v>26</v>
      </c>
      <c r="D7">
        <f t="shared" si="0"/>
        <v>0</v>
      </c>
    </row>
    <row r="8" spans="2:7" x14ac:dyDescent="0.25">
      <c r="B8" t="s">
        <v>119</v>
      </c>
      <c r="C8" s="27">
        <v>55</v>
      </c>
      <c r="D8">
        <f t="shared" si="0"/>
        <v>0</v>
      </c>
    </row>
    <row r="9" spans="2:7" x14ac:dyDescent="0.25">
      <c r="B9" t="s">
        <v>120</v>
      </c>
      <c r="C9" s="27">
        <v>79</v>
      </c>
      <c r="D9">
        <f t="shared" si="0"/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7586-06BC-4449-9C28-87A75B8E467D}">
  <dimension ref="A1:P25"/>
  <sheetViews>
    <sheetView showGridLines="0" zoomScale="70" zoomScaleNormal="70" workbookViewId="0"/>
  </sheetViews>
  <sheetFormatPr defaultRowHeight="23.25" x14ac:dyDescent="0.35"/>
  <cols>
    <col min="1" max="1" width="26.85546875" bestFit="1" customWidth="1"/>
    <col min="3" max="3" width="16.7109375" bestFit="1" customWidth="1"/>
    <col min="4" max="4" width="8.7109375" customWidth="1"/>
    <col min="5" max="5" width="15" style="12" customWidth="1"/>
    <col min="6" max="6" width="21.140625" style="12" bestFit="1" customWidth="1"/>
    <col min="7" max="7" width="16.5703125" style="12" bestFit="1" customWidth="1"/>
    <col min="8" max="8" width="18.85546875" style="12" bestFit="1" customWidth="1"/>
    <col min="9" max="9" width="18.7109375" style="12" bestFit="1" customWidth="1"/>
    <col min="10" max="10" width="16.42578125" style="12" bestFit="1" customWidth="1"/>
    <col min="11" max="11" width="11.5703125" style="12" customWidth="1"/>
    <col min="13" max="13" width="0" hidden="1" customWidth="1"/>
    <col min="14" max="14" width="23.5703125" hidden="1" customWidth="1"/>
    <col min="15" max="15" width="10.85546875" hidden="1" customWidth="1"/>
    <col min="16" max="16" width="37.42578125" hidden="1" customWidth="1"/>
  </cols>
  <sheetData>
    <row r="1" spans="1:16" ht="24" thickBot="1" x14ac:dyDescent="0.4"/>
    <row r="2" spans="1:16" ht="30" hidden="1" customHeight="1" x14ac:dyDescent="0.35">
      <c r="A2" s="11"/>
      <c r="E2" s="12">
        <v>1</v>
      </c>
      <c r="F2" s="12">
        <v>2</v>
      </c>
      <c r="G2" s="12">
        <v>3</v>
      </c>
      <c r="H2" s="12">
        <v>4</v>
      </c>
      <c r="I2" s="12">
        <v>5</v>
      </c>
      <c r="J2" s="12">
        <v>6</v>
      </c>
      <c r="K2" s="12">
        <v>7</v>
      </c>
    </row>
    <row r="3" spans="1:16" ht="24.75" thickTop="1" thickBot="1" x14ac:dyDescent="0.4">
      <c r="C3" s="45" t="s">
        <v>131</v>
      </c>
      <c r="D3" s="45">
        <f ca="1">MONTH(TODAY())</f>
        <v>1</v>
      </c>
      <c r="O3" s="31">
        <f ca="1">DATE(YEAR(TODAY()),D3,1)</f>
        <v>44197</v>
      </c>
      <c r="P3" t="s">
        <v>133</v>
      </c>
    </row>
    <row r="4" spans="1:16" ht="18.75" customHeight="1" thickTop="1" thickBot="1" x14ac:dyDescent="0.4"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M4" s="12" t="s">
        <v>130</v>
      </c>
      <c r="N4" s="5">
        <f ca="1">TODAY()</f>
        <v>44217</v>
      </c>
      <c r="O4">
        <f ca="1">WEEKDAY(O3)</f>
        <v>6</v>
      </c>
      <c r="P4" t="s">
        <v>132</v>
      </c>
    </row>
    <row r="5" spans="1:16" ht="15" x14ac:dyDescent="0.25">
      <c r="E5" s="16"/>
      <c r="F5" s="17"/>
      <c r="G5" s="17"/>
      <c r="H5" s="17"/>
      <c r="I5" s="17"/>
      <c r="J5" s="17"/>
      <c r="K5" s="18"/>
      <c r="N5" s="30"/>
    </row>
    <row r="6" spans="1:16" ht="15" x14ac:dyDescent="0.25">
      <c r="E6" s="22"/>
      <c r="F6" s="1"/>
      <c r="G6" s="1"/>
      <c r="H6" s="1"/>
      <c r="I6" s="1"/>
      <c r="J6" s="1"/>
      <c r="K6" s="23"/>
      <c r="L6" s="13"/>
    </row>
    <row r="7" spans="1:16" ht="21" x14ac:dyDescent="0.35">
      <c r="E7" s="32" t="str">
        <f ca="1">IF($O$4=E2,1,IF(D7&lt;&gt;"",D7+1,""))</f>
        <v/>
      </c>
      <c r="F7" s="32" t="str">
        <f ca="1">IF($O$4=F2,1,IF(E7&lt;&gt;"",E7+1,""))</f>
        <v/>
      </c>
      <c r="G7" s="32" t="str">
        <f ca="1">IF($O$4=G2,1,IF(F7&lt;&gt;"",F7+1,""))</f>
        <v/>
      </c>
      <c r="H7" s="32">
        <v>1</v>
      </c>
      <c r="I7" s="32">
        <f ca="1">IF($O$4=I2,1,IF(H7&lt;&gt;"",H7+1,""))</f>
        <v>2</v>
      </c>
      <c r="J7" s="32">
        <f ca="1">IF($O$4=I2,1,IF(I7&lt;&gt;"",I7+1,""))</f>
        <v>3</v>
      </c>
      <c r="K7" s="32">
        <f ca="1">IF($O$4=I2,1,IF(J7&lt;&gt;"",J7+1,""))</f>
        <v>4</v>
      </c>
      <c r="L7" s="13"/>
    </row>
    <row r="8" spans="1:16" ht="15" x14ac:dyDescent="0.25">
      <c r="E8" s="19"/>
      <c r="F8" s="20"/>
      <c r="G8" s="20"/>
      <c r="H8" s="20"/>
      <c r="I8" s="20"/>
      <c r="J8" s="20"/>
      <c r="K8" s="21"/>
      <c r="L8" s="13"/>
    </row>
    <row r="9" spans="1:16" ht="15" x14ac:dyDescent="0.25">
      <c r="D9" s="29"/>
      <c r="E9" s="22"/>
      <c r="F9" s="1"/>
      <c r="G9" s="1"/>
      <c r="H9" s="1"/>
      <c r="I9" s="1"/>
      <c r="J9" s="1"/>
      <c r="K9" s="23"/>
      <c r="L9" s="13"/>
      <c r="N9" s="5"/>
    </row>
    <row r="10" spans="1:16" ht="21" x14ac:dyDescent="0.35">
      <c r="E10" s="32">
        <v>5</v>
      </c>
      <c r="F10" s="32">
        <v>6</v>
      </c>
      <c r="G10" s="32">
        <v>7</v>
      </c>
      <c r="H10" s="32">
        <v>8</v>
      </c>
      <c r="I10" s="32">
        <v>9</v>
      </c>
      <c r="J10" s="32">
        <v>10</v>
      </c>
      <c r="K10" s="32">
        <v>11</v>
      </c>
      <c r="L10" s="13"/>
    </row>
    <row r="11" spans="1:16" ht="15" x14ac:dyDescent="0.25">
      <c r="E11" s="19"/>
      <c r="F11" s="20"/>
      <c r="G11" s="20"/>
      <c r="H11" s="20"/>
      <c r="I11" s="20"/>
      <c r="J11" s="20"/>
      <c r="K11" s="21"/>
      <c r="L11" s="13"/>
    </row>
    <row r="12" spans="1:16" ht="15" x14ac:dyDescent="0.25">
      <c r="E12" s="22"/>
      <c r="F12" s="1"/>
      <c r="G12" s="1"/>
      <c r="H12" s="1"/>
      <c r="I12" s="1"/>
      <c r="J12" s="1"/>
      <c r="K12" s="23"/>
      <c r="L12" s="13"/>
    </row>
    <row r="13" spans="1:16" ht="21.75" thickBot="1" x14ac:dyDescent="0.4">
      <c r="E13" s="15">
        <v>12</v>
      </c>
      <c r="F13" s="14">
        <v>13</v>
      </c>
      <c r="G13" s="14">
        <v>14</v>
      </c>
      <c r="H13" s="14">
        <v>15</v>
      </c>
      <c r="I13" s="14">
        <v>16</v>
      </c>
      <c r="J13" s="14">
        <v>17</v>
      </c>
      <c r="K13" s="14">
        <v>18</v>
      </c>
      <c r="L13" s="13"/>
    </row>
    <row r="14" spans="1:16" ht="15" x14ac:dyDescent="0.25">
      <c r="E14" s="19"/>
      <c r="F14" s="20"/>
      <c r="G14" s="20"/>
      <c r="H14" s="20"/>
      <c r="I14" s="20"/>
      <c r="J14" s="20"/>
      <c r="K14" s="21"/>
      <c r="L14" s="13"/>
    </row>
    <row r="15" spans="1:16" ht="15" x14ac:dyDescent="0.25">
      <c r="E15" s="22"/>
      <c r="F15" s="1"/>
      <c r="G15" s="1"/>
      <c r="H15" s="1"/>
      <c r="I15" s="1"/>
      <c r="J15" s="1"/>
      <c r="K15" s="23"/>
      <c r="L15" s="13"/>
    </row>
    <row r="16" spans="1:16" ht="21.75" thickBot="1" x14ac:dyDescent="0.4">
      <c r="E16" s="15">
        <v>19</v>
      </c>
      <c r="F16" s="14">
        <v>20</v>
      </c>
      <c r="G16" s="14">
        <v>21</v>
      </c>
      <c r="H16" s="14">
        <v>22</v>
      </c>
      <c r="I16" s="14">
        <v>23</v>
      </c>
      <c r="J16" s="14">
        <v>24</v>
      </c>
      <c r="K16" s="14">
        <v>25</v>
      </c>
      <c r="L16" s="13"/>
    </row>
    <row r="17" spans="3:12" ht="15" x14ac:dyDescent="0.25">
      <c r="E17" s="19"/>
      <c r="F17" s="20"/>
      <c r="G17" s="20"/>
      <c r="H17" s="20"/>
      <c r="I17" s="20"/>
      <c r="J17" s="20"/>
      <c r="K17" s="21"/>
      <c r="L17" s="13"/>
    </row>
    <row r="18" spans="3:12" x14ac:dyDescent="0.35">
      <c r="D18" s="12"/>
      <c r="E18" s="22"/>
      <c r="F18" s="1"/>
      <c r="G18" s="1"/>
      <c r="H18" s="1"/>
      <c r="I18" s="1"/>
      <c r="J18" s="1"/>
      <c r="K18" s="23"/>
      <c r="L18" s="13"/>
    </row>
    <row r="19" spans="3:12" ht="21.75" thickBot="1" x14ac:dyDescent="0.4">
      <c r="E19" s="15">
        <v>26</v>
      </c>
      <c r="F19" s="15">
        <v>27</v>
      </c>
      <c r="G19" s="15">
        <v>28</v>
      </c>
      <c r="H19" s="15">
        <v>29</v>
      </c>
      <c r="I19" s="15">
        <v>30</v>
      </c>
      <c r="J19" s="15">
        <v>31</v>
      </c>
      <c r="K19" s="15"/>
      <c r="L19" s="13"/>
    </row>
    <row r="20" spans="3:12" ht="15" x14ac:dyDescent="0.25">
      <c r="E20" s="19"/>
      <c r="F20" s="20"/>
      <c r="G20" s="20"/>
      <c r="H20" s="20"/>
      <c r="I20" s="20"/>
      <c r="J20" s="20"/>
      <c r="K20" s="21"/>
    </row>
    <row r="21" spans="3:12" ht="20.25" customHeight="1" x14ac:dyDescent="0.25">
      <c r="C21" s="2"/>
      <c r="E21" s="22"/>
      <c r="F21" s="1"/>
      <c r="G21" s="1"/>
      <c r="H21" s="1"/>
      <c r="I21" s="1"/>
      <c r="J21" s="1"/>
      <c r="K21" s="23"/>
    </row>
    <row r="22" spans="3:12" ht="21.75" thickBot="1" x14ac:dyDescent="0.4">
      <c r="E22" s="15"/>
      <c r="F22" s="15"/>
      <c r="G22" s="15"/>
      <c r="H22" s="15"/>
      <c r="I22" s="15"/>
      <c r="J22" s="15"/>
      <c r="K22" s="15"/>
    </row>
    <row r="25" spans="3:12" x14ac:dyDescent="0.35">
      <c r="D25" s="28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EB7F-BB9E-4220-A076-C6DF11E24DFE}">
  <dimension ref="A4:G22"/>
  <sheetViews>
    <sheetView workbookViewId="0">
      <selection activeCell="D25" sqref="D25"/>
    </sheetView>
  </sheetViews>
  <sheetFormatPr defaultRowHeight="15" x14ac:dyDescent="0.25"/>
  <cols>
    <col min="1" max="1" width="12.85546875" customWidth="1"/>
    <col min="2" max="2" width="16" customWidth="1"/>
    <col min="4" max="4" width="22.28515625" bestFit="1" customWidth="1"/>
    <col min="6" max="6" width="15.5703125" customWidth="1"/>
    <col min="7" max="7" width="29.140625" bestFit="1" customWidth="1"/>
  </cols>
  <sheetData>
    <row r="4" spans="1:7" x14ac:dyDescent="0.25">
      <c r="A4" s="47" t="s">
        <v>59</v>
      </c>
      <c r="B4" s="47"/>
      <c r="D4" s="10" t="s">
        <v>74</v>
      </c>
      <c r="F4" s="47" t="s">
        <v>89</v>
      </c>
      <c r="G4" s="47"/>
    </row>
    <row r="5" spans="1:7" x14ac:dyDescent="0.25">
      <c r="A5" s="7" t="s">
        <v>1</v>
      </c>
      <c r="B5" s="7" t="s">
        <v>60</v>
      </c>
      <c r="D5" s="34" t="s">
        <v>134</v>
      </c>
      <c r="F5" s="7" t="s">
        <v>91</v>
      </c>
      <c r="G5" s="7" t="s">
        <v>90</v>
      </c>
    </row>
    <row r="6" spans="1:7" x14ac:dyDescent="0.25">
      <c r="A6" s="7" t="s">
        <v>6</v>
      </c>
      <c r="B6" s="8">
        <v>1</v>
      </c>
      <c r="D6" s="9" t="s">
        <v>11</v>
      </c>
      <c r="F6" s="7" t="s">
        <v>92</v>
      </c>
      <c r="G6" s="7"/>
    </row>
    <row r="7" spans="1:7" x14ac:dyDescent="0.25">
      <c r="A7" s="7" t="s">
        <v>7</v>
      </c>
      <c r="B7" s="8">
        <v>1</v>
      </c>
      <c r="D7" s="7" t="s">
        <v>9</v>
      </c>
      <c r="F7" s="7" t="s">
        <v>93</v>
      </c>
      <c r="G7" s="7"/>
    </row>
    <row r="8" spans="1:7" x14ac:dyDescent="0.25">
      <c r="A8" s="7" t="s">
        <v>8</v>
      </c>
      <c r="B8" s="8">
        <v>1</v>
      </c>
      <c r="D8" s="7" t="s">
        <v>10</v>
      </c>
      <c r="F8" s="7" t="s">
        <v>94</v>
      </c>
      <c r="G8" s="7"/>
    </row>
    <row r="9" spans="1:7" x14ac:dyDescent="0.25">
      <c r="A9" s="7" t="s">
        <v>61</v>
      </c>
      <c r="B9" s="8">
        <v>1</v>
      </c>
      <c r="D9" s="7" t="s">
        <v>75</v>
      </c>
      <c r="F9" s="7" t="s">
        <v>95</v>
      </c>
      <c r="G9" s="7"/>
    </row>
    <row r="10" spans="1:7" x14ac:dyDescent="0.25">
      <c r="A10" s="7" t="s">
        <v>62</v>
      </c>
      <c r="B10" s="8">
        <v>1</v>
      </c>
      <c r="D10" s="7" t="s">
        <v>76</v>
      </c>
      <c r="F10" s="7" t="s">
        <v>96</v>
      </c>
      <c r="G10" s="7"/>
    </row>
    <row r="11" spans="1:7" x14ac:dyDescent="0.25">
      <c r="A11" s="7" t="s">
        <v>63</v>
      </c>
      <c r="B11" s="8">
        <v>1</v>
      </c>
      <c r="D11" s="7" t="s">
        <v>77</v>
      </c>
      <c r="F11" s="7" t="s">
        <v>97</v>
      </c>
      <c r="G11" s="7"/>
    </row>
    <row r="12" spans="1:7" x14ac:dyDescent="0.25">
      <c r="A12" s="7" t="s">
        <v>64</v>
      </c>
      <c r="B12" s="8">
        <v>1</v>
      </c>
      <c r="D12" s="7" t="s">
        <v>78</v>
      </c>
      <c r="F12" s="7" t="s">
        <v>98</v>
      </c>
      <c r="G12" s="7"/>
    </row>
    <row r="13" spans="1:7" x14ac:dyDescent="0.25">
      <c r="A13" s="7" t="s">
        <v>65</v>
      </c>
      <c r="B13" s="8">
        <v>1</v>
      </c>
      <c r="D13" s="7" t="s">
        <v>79</v>
      </c>
      <c r="F13" s="7" t="s">
        <v>99</v>
      </c>
      <c r="G13" s="7"/>
    </row>
    <row r="14" spans="1:7" x14ac:dyDescent="0.25">
      <c r="A14" s="7" t="s">
        <v>66</v>
      </c>
      <c r="B14" s="8">
        <v>1</v>
      </c>
      <c r="D14" s="7" t="s">
        <v>80</v>
      </c>
      <c r="F14" s="7" t="s">
        <v>100</v>
      </c>
      <c r="G14" s="7"/>
    </row>
    <row r="15" spans="1:7" x14ac:dyDescent="0.25">
      <c r="A15" s="7" t="s">
        <v>67</v>
      </c>
      <c r="B15" s="8">
        <v>1</v>
      </c>
      <c r="D15" s="7" t="s">
        <v>81</v>
      </c>
      <c r="F15" s="7" t="s">
        <v>101</v>
      </c>
      <c r="G15" s="7"/>
    </row>
    <row r="16" spans="1:7" x14ac:dyDescent="0.25">
      <c r="A16" s="7" t="s">
        <v>68</v>
      </c>
      <c r="B16" s="8">
        <v>1</v>
      </c>
      <c r="D16" s="7" t="s">
        <v>82</v>
      </c>
      <c r="F16" s="7" t="s">
        <v>102</v>
      </c>
      <c r="G16" s="7"/>
    </row>
    <row r="17" spans="1:7" x14ac:dyDescent="0.25">
      <c r="A17" s="7" t="s">
        <v>69</v>
      </c>
      <c r="B17" s="8">
        <v>1</v>
      </c>
      <c r="D17" s="7" t="s">
        <v>83</v>
      </c>
      <c r="F17" s="7" t="s">
        <v>103</v>
      </c>
      <c r="G17" s="7"/>
    </row>
    <row r="18" spans="1:7" x14ac:dyDescent="0.25">
      <c r="A18" s="7" t="s">
        <v>70</v>
      </c>
      <c r="B18" s="8">
        <v>1</v>
      </c>
      <c r="D18" s="7" t="s">
        <v>84</v>
      </c>
      <c r="F18" s="7" t="s">
        <v>104</v>
      </c>
      <c r="G18" s="7"/>
    </row>
    <row r="19" spans="1:7" x14ac:dyDescent="0.25">
      <c r="A19" s="7" t="s">
        <v>71</v>
      </c>
      <c r="B19" s="8">
        <v>1</v>
      </c>
      <c r="D19" s="7" t="s">
        <v>85</v>
      </c>
      <c r="F19" s="7" t="s">
        <v>105</v>
      </c>
      <c r="G19" s="7"/>
    </row>
    <row r="20" spans="1:7" x14ac:dyDescent="0.25">
      <c r="A20" s="7" t="s">
        <v>72</v>
      </c>
      <c r="B20" s="8">
        <v>1</v>
      </c>
      <c r="D20" s="7" t="s">
        <v>86</v>
      </c>
      <c r="F20" s="7" t="s">
        <v>106</v>
      </c>
      <c r="G20" s="7"/>
    </row>
    <row r="21" spans="1:7" x14ac:dyDescent="0.25">
      <c r="A21" s="7" t="s">
        <v>73</v>
      </c>
      <c r="B21" s="8">
        <v>1</v>
      </c>
      <c r="D21" s="7" t="s">
        <v>87</v>
      </c>
      <c r="F21" s="7" t="s">
        <v>107</v>
      </c>
      <c r="G21" s="7"/>
    </row>
    <row r="22" spans="1:7" x14ac:dyDescent="0.25">
      <c r="D22" s="7" t="s">
        <v>88</v>
      </c>
    </row>
  </sheetData>
  <autoFilter ref="A5:G21" xr:uid="{247905B5-0138-49DA-B75F-E9C2EFAA774F}"/>
  <mergeCells count="2">
    <mergeCell ref="A4:B4"/>
    <mergeCell ref="F4:G4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Menu</vt:lpstr>
      <vt:lpstr>Geral</vt:lpstr>
      <vt:lpstr>Clientes</vt:lpstr>
      <vt:lpstr>Planilha1</vt:lpstr>
      <vt:lpstr>Planilha2</vt:lpstr>
      <vt:lpstr>Calendário</vt:lpstr>
      <vt:lpstr>Cálculos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Laucis</dc:creator>
  <cp:lastModifiedBy>Eduardo Laucis</cp:lastModifiedBy>
  <dcterms:created xsi:type="dcterms:W3CDTF">2020-11-06T13:53:04Z</dcterms:created>
  <dcterms:modified xsi:type="dcterms:W3CDTF">2021-01-21T15:56:10Z</dcterms:modified>
</cp:coreProperties>
</file>