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ExcelCurso\ModuloII\"/>
    </mc:Choice>
  </mc:AlternateContent>
  <xr:revisionPtr revIDLastSave="0" documentId="8_{91783E47-43D4-4E8A-9046-4B1A98858894}" xr6:coauthVersionLast="45" xr6:coauthVersionMax="45" xr10:uidLastSave="{00000000-0000-0000-0000-000000000000}"/>
  <bookViews>
    <workbookView xWindow="-120" yWindow="-120" windowWidth="20730" windowHeight="11160" activeTab="1" xr2:uid="{483E1B6D-B829-4839-BCF9-D881BF296BBC}"/>
  </bookViews>
  <sheets>
    <sheet name="Menu" sheetId="1" r:id="rId1"/>
    <sheet name="Geral" sheetId="3" r:id="rId2"/>
    <sheet name="Clientes" sheetId="4" r:id="rId3"/>
    <sheet name="Calendário" sheetId="5" r:id="rId4"/>
    <sheet name="Cálculo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3" l="1"/>
  <c r="D19" i="3"/>
  <c r="E19" i="3"/>
  <c r="F19" i="3"/>
  <c r="G19" i="3"/>
  <c r="H19" i="3"/>
  <c r="I19" i="3"/>
  <c r="J19" i="3"/>
  <c r="K19" i="3"/>
  <c r="L19" i="3"/>
  <c r="B19" i="3"/>
  <c r="C18" i="3"/>
  <c r="D18" i="3"/>
  <c r="E18" i="3"/>
  <c r="F18" i="3"/>
  <c r="G18" i="3"/>
  <c r="H18" i="3"/>
  <c r="I18" i="3"/>
  <c r="J18" i="3"/>
  <c r="K18" i="3"/>
  <c r="L18" i="3"/>
  <c r="B18" i="3"/>
  <c r="D17" i="3"/>
  <c r="E17" i="3"/>
  <c r="F17" i="3"/>
  <c r="G17" i="3"/>
  <c r="H17" i="3"/>
  <c r="I17" i="3"/>
  <c r="J17" i="3"/>
  <c r="K17" i="3"/>
  <c r="L17" i="3"/>
  <c r="C17" i="3"/>
  <c r="B17" i="3"/>
  <c r="G5" i="3"/>
  <c r="F5" i="3" s="1"/>
  <c r="I16" i="3"/>
  <c r="I15" i="3"/>
  <c r="I14" i="3"/>
  <c r="I13" i="3"/>
  <c r="I12" i="3"/>
  <c r="I11" i="3"/>
  <c r="G9" i="3" l="1"/>
  <c r="I9" i="3"/>
  <c r="J9" i="3"/>
  <c r="G10" i="3"/>
  <c r="J10" i="3" s="1"/>
  <c r="I10" i="3"/>
  <c r="I8" i="3" l="1"/>
  <c r="G8" i="3" l="1"/>
  <c r="J8" i="3" s="1"/>
</calcChain>
</file>

<file path=xl/sharedStrings.xml><?xml version="1.0" encoding="utf-8"?>
<sst xmlns="http://schemas.openxmlformats.org/spreadsheetml/2006/main" count="145" uniqueCount="121">
  <si>
    <t>Geral</t>
  </si>
  <si>
    <t>Clientes</t>
  </si>
  <si>
    <t>Produtos</t>
  </si>
  <si>
    <t>Nome</t>
  </si>
  <si>
    <t>Fornecedor</t>
  </si>
  <si>
    <t>Preço de Compra</t>
  </si>
  <si>
    <t>Data de Compra</t>
  </si>
  <si>
    <t>Produto 1</t>
  </si>
  <si>
    <t>Produto 2</t>
  </si>
  <si>
    <t>Produto 3</t>
  </si>
  <si>
    <t>Fornecedor 2</t>
  </si>
  <si>
    <t>Fornecedor 3</t>
  </si>
  <si>
    <t>Fornecedor 1</t>
  </si>
  <si>
    <t>Observação: Essa aba é o local de cadastro dos meus produtos</t>
  </si>
  <si>
    <t>Quantidade Comprada</t>
  </si>
  <si>
    <t>Preço de Venda</t>
  </si>
  <si>
    <t>Quantidade Vendida</t>
  </si>
  <si>
    <t>Estoque</t>
  </si>
  <si>
    <t>Margem de Lucro por Produto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</si>
  <si>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</si>
  <si>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</si>
  <si>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</si>
  <si>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</si>
  <si>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</si>
  <si>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</si>
  <si>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</si>
  <si>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Mi</t>
  </si>
  <si>
    <t>Fá</t>
  </si>
  <si>
    <t>Telefone</t>
  </si>
  <si>
    <t>E-mail</t>
  </si>
  <si>
    <t>Cidade</t>
  </si>
  <si>
    <t>Tipo</t>
  </si>
  <si>
    <t>Data da última compra</t>
  </si>
  <si>
    <t>Beltrano 1</t>
  </si>
  <si>
    <t>Beltrano 2</t>
  </si>
  <si>
    <t>Beltrano 3</t>
  </si>
  <si>
    <t>Beltrano 4</t>
  </si>
  <si>
    <t>Beltrano 5</t>
  </si>
  <si>
    <t>Beltrano 6</t>
  </si>
  <si>
    <t>Beltrano 7</t>
  </si>
  <si>
    <t>Beltrano 8</t>
  </si>
  <si>
    <t>Beltrano 9</t>
  </si>
  <si>
    <t>90000-0000</t>
  </si>
  <si>
    <t>beltrano1@gmail</t>
  </si>
  <si>
    <t>beltrano2@gmail</t>
  </si>
  <si>
    <t>beltrano3@gmail</t>
  </si>
  <si>
    <t>beltrano4@gmail</t>
  </si>
  <si>
    <t>beltrano5@gmail</t>
  </si>
  <si>
    <t>beltrano6@gmail</t>
  </si>
  <si>
    <t>beltrano7@gmail</t>
  </si>
  <si>
    <t>beltrano8@gmail</t>
  </si>
  <si>
    <t>beltrano9@gmail</t>
  </si>
  <si>
    <t>Rio de Janeiro</t>
  </si>
  <si>
    <t>São Paulo</t>
  </si>
  <si>
    <t>Belo Horizonte</t>
  </si>
  <si>
    <t>Porto Alegre</t>
  </si>
  <si>
    <t>Florianópolis</t>
  </si>
  <si>
    <t>Recife</t>
  </si>
  <si>
    <t>Brasília</t>
  </si>
  <si>
    <t>Manaus</t>
  </si>
  <si>
    <t>Salvador</t>
  </si>
  <si>
    <t>Jurídica</t>
  </si>
  <si>
    <t>Física</t>
  </si>
  <si>
    <t>Lista de Produtos</t>
  </si>
  <si>
    <t>Preços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</si>
  <si>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</si>
  <si>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</si>
  <si>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</si>
  <si>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</si>
  <si>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</si>
  <si>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</si>
  <si>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</si>
  <si>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</si>
  <si>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</si>
  <si>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</si>
  <si>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</si>
  <si>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</si>
  <si>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</si>
  <si>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Lista de Fornecedores</t>
  </si>
  <si>
    <t>Fornecedor 4</t>
  </si>
  <si>
    <t>Fornecedor 5</t>
  </si>
  <si>
    <t>Fornecedor 6</t>
  </si>
  <si>
    <t>Fornecedor 7</t>
  </si>
  <si>
    <t>Fornecedor 8</t>
  </si>
  <si>
    <t>Fornecedor 9</t>
  </si>
  <si>
    <t>Fornecedor 10</t>
  </si>
  <si>
    <t>Fornecedor 11</t>
  </si>
  <si>
    <t>Fornecedor 12</t>
  </si>
  <si>
    <t>Fornecedor 13</t>
  </si>
  <si>
    <t>Fornecedor 14</t>
  </si>
  <si>
    <t>Fornecedor 15</t>
  </si>
  <si>
    <t>Fornecedor 16</t>
  </si>
  <si>
    <t>Fornecedor 17</t>
  </si>
  <si>
    <t>Lista de Funcionários</t>
  </si>
  <si>
    <t>Dias de trabalho do funcionário</t>
  </si>
  <si>
    <t>Funcionário</t>
  </si>
  <si>
    <t>Funcionário 1</t>
  </si>
  <si>
    <t>Funcionário 2</t>
  </si>
  <si>
    <t>Funcionário 3</t>
  </si>
  <si>
    <t>Funcionário 4</t>
  </si>
  <si>
    <t>Funcionário 5</t>
  </si>
  <si>
    <t>Funcionário 6</t>
  </si>
  <si>
    <t>Funcionário 7</t>
  </si>
  <si>
    <t>Funcionário 8</t>
  </si>
  <si>
    <t>Funcionário 9</t>
  </si>
  <si>
    <t>Funcionário 10</t>
  </si>
  <si>
    <t>Funcionário 11</t>
  </si>
  <si>
    <t>Funcionário 12</t>
  </si>
  <si>
    <t>Funcionário 13</t>
  </si>
  <si>
    <t>Funcionário 14</t>
  </si>
  <si>
    <t>Funcionário 15</t>
  </si>
  <si>
    <t>Funcionário 16</t>
  </si>
  <si>
    <t>&lt;&gt; = diferente</t>
  </si>
  <si>
    <t>"" = texto vazio</t>
  </si>
  <si>
    <t>feijão</t>
  </si>
  <si>
    <t>Ver</t>
  </si>
  <si>
    <t>Defasagem</t>
  </si>
  <si>
    <t>Estoque Real</t>
  </si>
  <si>
    <t>cont.num</t>
  </si>
  <si>
    <t>cont.valores</t>
  </si>
  <si>
    <t>contar.vazio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</si>
</sst>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8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5" fillId="3" borderId="1" xfId="1" applyBorder="1"/>
    <xf numFmtId="164" fontId="5" fillId="3" borderId="1" xfId="1" applyNumberFormat="1" applyBorder="1" applyProtection="1">
      <protection locked="0"/>
    </xf>
    <xf numFmtId="14" fontId="5" fillId="3" borderId="1" xfId="1" applyNumberFormat="1" applyBorder="1"/>
    <xf numFmtId="0" fontId="3" fillId="4" borderId="1" xfId="2" applyBorder="1"/>
    <xf numFmtId="164" fontId="3" fillId="4" borderId="1" xfId="2" applyNumberFormat="1" applyBorder="1" applyProtection="1">
      <protection locked="0"/>
    </xf>
    <xf numFmtId="14" fontId="3" fillId="4" borderId="1" xfId="2" applyNumberFormat="1" applyBorder="1"/>
    <xf numFmtId="164" fontId="5" fillId="3" borderId="1" xfId="1" applyNumberFormat="1" applyBorder="1"/>
    <xf numFmtId="9" fontId="5" fillId="3" borderId="1" xfId="1" applyNumberFormat="1" applyBorder="1"/>
    <xf numFmtId="164" fontId="3" fillId="4" borderId="1" xfId="2" applyNumberFormat="1" applyBorder="1"/>
    <xf numFmtId="0" fontId="5" fillId="5" borderId="1" xfId="1" applyFill="1" applyBorder="1"/>
    <xf numFmtId="9" fontId="5" fillId="5" borderId="1" xfId="1" applyNumberFormat="1" applyFill="1" applyBorder="1"/>
    <xf numFmtId="0" fontId="0" fillId="0" borderId="0" xfId="0" applyAlignment="1">
      <alignment horizontal="center" wrapText="1"/>
    </xf>
    <xf numFmtId="0" fontId="2" fillId="2" borderId="3" xfId="0" applyFont="1" applyFill="1" applyBorder="1"/>
    <xf numFmtId="0" fontId="0" fillId="2" borderId="0" xfId="0" applyFill="1"/>
    <xf numFmtId="0" fontId="7" fillId="2" borderId="0" xfId="0" applyFont="1" applyFill="1"/>
    <xf numFmtId="14" fontId="0" fillId="0" borderId="0" xfId="0" applyNumberFormat="1"/>
    <xf numFmtId="0" fontId="5" fillId="4" borderId="1" xfId="2" applyFont="1" applyBorder="1"/>
    <xf numFmtId="164" fontId="5" fillId="4" borderId="1" xfId="2" applyNumberFormat="1" applyFont="1" applyBorder="1" applyProtection="1">
      <protection locked="0"/>
    </xf>
    <xf numFmtId="14" fontId="5" fillId="4" borderId="1" xfId="2" applyNumberFormat="1" applyFont="1" applyBorder="1"/>
    <xf numFmtId="164" fontId="5" fillId="4" borderId="1" xfId="2" applyNumberFormat="1" applyFont="1" applyBorder="1"/>
    <xf numFmtId="0" fontId="5" fillId="5" borderId="1" xfId="1" applyFont="1" applyFill="1" applyBorder="1"/>
    <xf numFmtId="9" fontId="5" fillId="5" borderId="1" xfId="1" applyNumberFormat="1" applyFont="1" applyFill="1" applyBorder="1"/>
    <xf numFmtId="0" fontId="6" fillId="3" borderId="1" xfId="3" applyFill="1" applyBorder="1"/>
    <xf numFmtId="0" fontId="6" fillId="5" borderId="1" xfId="3" applyFill="1" applyBorder="1"/>
    <xf numFmtId="14" fontId="5" fillId="5" borderId="1" xfId="1" applyNumberFormat="1" applyFill="1" applyBorder="1"/>
    <xf numFmtId="0" fontId="6" fillId="6" borderId="1" xfId="3" applyFill="1" applyBorder="1"/>
    <xf numFmtId="14" fontId="5" fillId="6" borderId="1" xfId="2" applyNumberFormat="1" applyFont="1" applyFill="1" applyBorder="1"/>
    <xf numFmtId="0" fontId="5" fillId="6" borderId="1" xfId="2" applyFont="1" applyFill="1" applyBorder="1"/>
    <xf numFmtId="0" fontId="8" fillId="6" borderId="1" xfId="3" applyFont="1" applyFill="1" applyBorder="1"/>
    <xf numFmtId="0" fontId="5" fillId="3" borderId="1" xfId="3" applyFont="1" applyFill="1" applyBorder="1"/>
    <xf numFmtId="0" fontId="5" fillId="4" borderId="1" xfId="3" applyFont="1" applyFill="1" applyBorder="1"/>
    <xf numFmtId="14" fontId="5" fillId="3" borderId="1" xfId="1" applyNumberFormat="1" applyFont="1" applyBorder="1"/>
    <xf numFmtId="14" fontId="5" fillId="5" borderId="1" xfId="1" applyNumberFormat="1" applyFont="1" applyFill="1" applyBorder="1"/>
    <xf numFmtId="2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4" fillId="0" borderId="0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4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6" xfId="0" applyFont="1" applyBorder="1"/>
    <xf numFmtId="0" fontId="3" fillId="4" borderId="5" xfId="2" applyBorder="1"/>
    <xf numFmtId="0" fontId="3" fillId="4" borderId="6" xfId="2" applyBorder="1"/>
    <xf numFmtId="0" fontId="3" fillId="4" borderId="7" xfId="2" applyBorder="1"/>
    <xf numFmtId="0" fontId="3" fillId="4" borderId="12" xfId="2" applyBorder="1"/>
    <xf numFmtId="0" fontId="3" fillId="4" borderId="3" xfId="2" applyBorder="1"/>
    <xf numFmtId="0" fontId="3" fillId="4" borderId="13" xfId="2" applyBorder="1"/>
    <xf numFmtId="0" fontId="5" fillId="3" borderId="8" xfId="1" applyBorder="1"/>
    <xf numFmtId="0" fontId="5" fillId="3" borderId="9" xfId="1" applyBorder="1"/>
    <xf numFmtId="0" fontId="0" fillId="7" borderId="0" xfId="0" applyFill="1"/>
    <xf numFmtId="0" fontId="4" fillId="0" borderId="0" xfId="0" applyFont="1" applyBorder="1" applyAlignment="1">
      <alignment horizontal="center"/>
    </xf>
  </cellXfs>
  <cellStyles count="4">
    <cellStyle name="60% - Ênfase6" xfId="2" builtinId="52"/>
    <cellStyle name="Ênfase6" xfId="1" builtinId="49"/>
    <cellStyle name="Hiperlink" xfId="3" builtinId="8"/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eltrano4@gmail" TargetMode="External"/><Relationship Id="rId3" Type="http://schemas.openxmlformats.org/officeDocument/2006/relationships/hyperlink" Target="mailto:beltrano3@gmail" TargetMode="External"/><Relationship Id="rId7" Type="http://schemas.openxmlformats.org/officeDocument/2006/relationships/hyperlink" Target="mailto:beltrano5@gmail" TargetMode="External"/><Relationship Id="rId2" Type="http://schemas.openxmlformats.org/officeDocument/2006/relationships/hyperlink" Target="mailto:beltrano2@gmail" TargetMode="External"/><Relationship Id="rId1" Type="http://schemas.openxmlformats.org/officeDocument/2006/relationships/hyperlink" Target="mailto:beltrano1@gmail" TargetMode="External"/><Relationship Id="rId6" Type="http://schemas.openxmlformats.org/officeDocument/2006/relationships/hyperlink" Target="mailto:beltrano6@gmail" TargetMode="External"/><Relationship Id="rId5" Type="http://schemas.openxmlformats.org/officeDocument/2006/relationships/hyperlink" Target="mailto:beltrano7@gmail" TargetMode="External"/><Relationship Id="rId4" Type="http://schemas.openxmlformats.org/officeDocument/2006/relationships/hyperlink" Target="mailto:beltrano8@gmail" TargetMode="External"/><Relationship Id="rId9" Type="http://schemas.openxmlformats.org/officeDocument/2006/relationships/hyperlink" Target="mailto:beltrano9@gma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71F7-D809-4883-BC2F-1BA93420017C}">
  <dimension ref="A3:P23"/>
  <sheetViews>
    <sheetView workbookViewId="0">
      <selection activeCell="C28" sqref="C28"/>
    </sheetView>
  </sheetViews>
  <sheetFormatPr defaultRowHeight="15" x14ac:dyDescent="0.25"/>
  <cols>
    <col min="5" max="5" width="6.28515625" customWidth="1"/>
    <col min="6" max="6" width="12.42578125" bestFit="1" customWidth="1"/>
    <col min="8" max="8" width="12.42578125" bestFit="1" customWidth="1"/>
    <col min="10" max="10" width="11.85546875" bestFit="1" customWidth="1"/>
  </cols>
  <sheetData>
    <row r="3" spans="1:16" x14ac:dyDescent="0.25">
      <c r="C3" t="s">
        <v>0</v>
      </c>
    </row>
    <row r="4" spans="1:16" x14ac:dyDescent="0.25">
      <c r="K4" s="56">
        <v>1</v>
      </c>
    </row>
    <row r="5" spans="1:16" x14ac:dyDescent="0.25">
      <c r="C5" t="s">
        <v>1</v>
      </c>
      <c r="K5" s="56">
        <v>2</v>
      </c>
      <c r="P5" t="s">
        <v>114</v>
      </c>
    </row>
    <row r="6" spans="1:16" x14ac:dyDescent="0.25">
      <c r="K6" s="56">
        <v>3</v>
      </c>
    </row>
    <row r="7" spans="1:16" x14ac:dyDescent="0.25">
      <c r="K7" s="56">
        <v>4</v>
      </c>
    </row>
    <row r="8" spans="1:16" x14ac:dyDescent="0.25">
      <c r="K8" s="56">
        <v>5</v>
      </c>
    </row>
    <row r="9" spans="1:16" x14ac:dyDescent="0.25">
      <c r="K9" s="56">
        <v>6</v>
      </c>
    </row>
    <row r="10" spans="1:16" x14ac:dyDescent="0.25">
      <c r="K10" s="56">
        <v>7</v>
      </c>
    </row>
    <row r="11" spans="1:16" x14ac:dyDescent="0.25">
      <c r="C11">
        <v>10</v>
      </c>
      <c r="K11" s="56">
        <v>8</v>
      </c>
    </row>
    <row r="12" spans="1:16" x14ac:dyDescent="0.25">
      <c r="C12">
        <v>10</v>
      </c>
      <c r="K12" s="56">
        <v>9</v>
      </c>
    </row>
    <row r="13" spans="1:16" x14ac:dyDescent="0.25">
      <c r="C13">
        <v>5</v>
      </c>
      <c r="K13" s="56">
        <v>10</v>
      </c>
    </row>
    <row r="14" spans="1:16" x14ac:dyDescent="0.25">
      <c r="K14" s="56">
        <v>11</v>
      </c>
    </row>
    <row r="15" spans="1:16" x14ac:dyDescent="0.25">
      <c r="A15" t="s">
        <v>112</v>
      </c>
      <c r="C15">
        <v>10</v>
      </c>
      <c r="K15" s="56">
        <v>12</v>
      </c>
    </row>
    <row r="16" spans="1:16" x14ac:dyDescent="0.25">
      <c r="A16" t="s">
        <v>113</v>
      </c>
      <c r="K16" s="56">
        <v>13</v>
      </c>
    </row>
    <row r="17" spans="11:11" x14ac:dyDescent="0.25">
      <c r="K17" s="56">
        <v>14</v>
      </c>
    </row>
    <row r="18" spans="11:11" x14ac:dyDescent="0.25">
      <c r="K18" s="56">
        <v>15</v>
      </c>
    </row>
    <row r="19" spans="11:11" x14ac:dyDescent="0.25">
      <c r="K19" s="56">
        <v>16</v>
      </c>
    </row>
    <row r="20" spans="11:11" x14ac:dyDescent="0.25">
      <c r="K20" s="56">
        <v>17</v>
      </c>
    </row>
    <row r="21" spans="11:11" x14ac:dyDescent="0.25">
      <c r="K21" s="56">
        <v>18</v>
      </c>
    </row>
    <row r="22" spans="11:11" x14ac:dyDescent="0.25">
      <c r="K22" s="56">
        <v>19</v>
      </c>
    </row>
    <row r="23" spans="11:11" x14ac:dyDescent="0.25">
      <c r="K23" s="56">
        <v>20</v>
      </c>
    </row>
  </sheetData>
  <conditionalFormatting sqref="K4:K23">
    <cfRule type="expression" dxfId="9" priority="2">
      <formula>$C$11&lt;&gt;$K$18</formula>
    </cfRule>
  </conditionalFormatting>
  <conditionalFormatting sqref="P19">
    <cfRule type="cellIs" dxfId="8" priority="1" operator="between">
      <formula>$C$11</formula>
      <formula>$C$12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74D8-15AC-4C56-9B9C-92DE12A46B23}">
  <dimension ref="A1:BF19"/>
  <sheetViews>
    <sheetView tabSelected="1" zoomScale="90" zoomScaleNormal="90" workbookViewId="0">
      <selection activeCell="F5" sqref="F5"/>
    </sheetView>
  </sheetViews>
  <sheetFormatPr defaultRowHeight="15" x14ac:dyDescent="0.25"/>
  <cols>
    <col min="1" max="1" width="11.85546875" bestFit="1" customWidth="1"/>
    <col min="2" max="2" width="9.5703125" bestFit="1" customWidth="1"/>
    <col min="3" max="3" width="14.140625" bestFit="1" customWidth="1"/>
    <col min="4" max="4" width="18" bestFit="1" customWidth="1"/>
    <col min="5" max="5" width="17.140625" customWidth="1"/>
    <col min="6" max="6" width="18.140625" bestFit="1" customWidth="1"/>
    <col min="7" max="7" width="17.7109375" customWidth="1"/>
    <col min="8" max="8" width="23.28515625" customWidth="1"/>
    <col min="9" max="9" width="11.7109375" hidden="1" customWidth="1"/>
    <col min="10" max="10" width="31.5703125" bestFit="1" customWidth="1"/>
    <col min="11" max="11" width="14.28515625" bestFit="1" customWidth="1"/>
    <col min="12" max="12" width="12.7109375" customWidth="1"/>
  </cols>
  <sheetData>
    <row r="1" spans="1:58" ht="4.5" customHeight="1" x14ac:dyDescent="0.25"/>
    <row r="2" spans="1:58" ht="5.0999999999999996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pans="1:58" ht="23.25" x14ac:dyDescent="0.35">
      <c r="A3" s="14"/>
      <c r="B3" s="14"/>
      <c r="C3" s="15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</row>
    <row r="4" spans="1:58" ht="5.0999999999999996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</row>
    <row r="5" spans="1:58" ht="22.5" customHeight="1" x14ac:dyDescent="0.25">
      <c r="F5" t="b">
        <f>OR(L8&lt;&gt;0,G5)</f>
        <v>0</v>
      </c>
      <c r="G5" t="b">
        <f>AND(K8&lt;&gt;"",K8=0)</f>
        <v>0</v>
      </c>
    </row>
    <row r="6" spans="1:58" ht="20.25" customHeight="1" x14ac:dyDescent="0.25"/>
    <row r="7" spans="1:58" ht="15.75" x14ac:dyDescent="0.25">
      <c r="A7" s="13" t="s">
        <v>115</v>
      </c>
      <c r="B7" s="13" t="s">
        <v>3</v>
      </c>
      <c r="C7" s="13" t="s">
        <v>4</v>
      </c>
      <c r="D7" s="13" t="s">
        <v>5</v>
      </c>
      <c r="E7" s="13" t="s">
        <v>6</v>
      </c>
      <c r="F7" s="13" t="s">
        <v>14</v>
      </c>
      <c r="G7" s="13" t="s">
        <v>15</v>
      </c>
      <c r="H7" s="13" t="s">
        <v>16</v>
      </c>
      <c r="I7" s="13" t="s">
        <v>17</v>
      </c>
      <c r="J7" s="13" t="s">
        <v>18</v>
      </c>
      <c r="K7" s="13" t="s">
        <v>117</v>
      </c>
      <c r="L7" s="13" t="s">
        <v>116</v>
      </c>
    </row>
    <row r="8" spans="1:58" ht="18.75" customHeight="1" x14ac:dyDescent="0.25">
      <c r="A8" s="1"/>
      <c r="B8" s="1" t="s">
        <v>7</v>
      </c>
      <c r="C8" s="1" t="s">
        <v>10</v>
      </c>
      <c r="D8" s="2">
        <v>4.5</v>
      </c>
      <c r="E8" s="3">
        <v>42024</v>
      </c>
      <c r="F8" s="1">
        <v>10</v>
      </c>
      <c r="G8" s="7">
        <f>D8+2.5</f>
        <v>7</v>
      </c>
      <c r="H8" s="1">
        <v>5</v>
      </c>
      <c r="I8" s="1">
        <f>F8-H8</f>
        <v>5</v>
      </c>
      <c r="J8" s="8">
        <f>(G8-D8)/G8</f>
        <v>0.35714285714285715</v>
      </c>
      <c r="K8" s="1">
        <v>5</v>
      </c>
      <c r="L8" s="1">
        <v>0</v>
      </c>
    </row>
    <row r="9" spans="1:58" ht="22.5" customHeight="1" x14ac:dyDescent="0.25">
      <c r="A9" s="17"/>
      <c r="B9" s="17" t="s">
        <v>8</v>
      </c>
      <c r="C9" s="17" t="s">
        <v>12</v>
      </c>
      <c r="D9" s="18">
        <v>7</v>
      </c>
      <c r="E9" s="19">
        <v>42025</v>
      </c>
      <c r="F9" s="17">
        <v>20</v>
      </c>
      <c r="G9" s="20">
        <f>D9+3</f>
        <v>10</v>
      </c>
      <c r="H9" s="17">
        <v>8</v>
      </c>
      <c r="I9" s="21">
        <f t="shared" ref="I9:I16" si="0">F9-H9</f>
        <v>12</v>
      </c>
      <c r="J9" s="22">
        <f t="shared" ref="J9:J10" si="1">(G9-D9)/G9</f>
        <v>0.3</v>
      </c>
      <c r="K9" s="17">
        <v>12</v>
      </c>
      <c r="L9" s="17">
        <v>0</v>
      </c>
    </row>
    <row r="10" spans="1:58" ht="23.25" customHeight="1" x14ac:dyDescent="0.25">
      <c r="A10" s="1"/>
      <c r="B10" s="1" t="s">
        <v>9</v>
      </c>
      <c r="C10" s="1" t="s">
        <v>11</v>
      </c>
      <c r="D10" s="2">
        <v>8</v>
      </c>
      <c r="E10" s="3">
        <v>42025</v>
      </c>
      <c r="F10" s="1">
        <v>25</v>
      </c>
      <c r="G10" s="7">
        <f>D10+6</f>
        <v>14</v>
      </c>
      <c r="H10" s="1">
        <v>17</v>
      </c>
      <c r="I10" s="1">
        <f t="shared" si="0"/>
        <v>8</v>
      </c>
      <c r="J10" s="8">
        <f t="shared" si="1"/>
        <v>0.42857142857142855</v>
      </c>
      <c r="K10" s="1">
        <v>7</v>
      </c>
      <c r="L10" s="1">
        <v>1</v>
      </c>
    </row>
    <row r="11" spans="1:58" x14ac:dyDescent="0.25">
      <c r="A11" s="4"/>
      <c r="B11" s="4"/>
      <c r="C11" s="4"/>
      <c r="D11" s="5"/>
      <c r="E11" s="6"/>
      <c r="F11" s="4"/>
      <c r="G11" s="9"/>
      <c r="H11" s="4"/>
      <c r="I11" s="10">
        <f t="shared" si="0"/>
        <v>0</v>
      </c>
      <c r="J11" s="11"/>
      <c r="K11" s="4"/>
      <c r="L11" s="4"/>
    </row>
    <row r="12" spans="1:58" x14ac:dyDescent="0.25">
      <c r="A12" s="1"/>
      <c r="B12" s="1"/>
      <c r="C12" s="1"/>
      <c r="D12" s="2"/>
      <c r="E12" s="3"/>
      <c r="F12" s="1"/>
      <c r="G12" s="7"/>
      <c r="H12" s="1"/>
      <c r="I12" s="1">
        <f t="shared" si="0"/>
        <v>0</v>
      </c>
      <c r="J12" s="8"/>
      <c r="K12" s="1"/>
      <c r="L12" s="1"/>
    </row>
    <row r="13" spans="1:58" x14ac:dyDescent="0.25">
      <c r="A13" s="4"/>
      <c r="B13" s="4"/>
      <c r="C13" s="4"/>
      <c r="D13" s="5"/>
      <c r="E13" s="6"/>
      <c r="F13" s="4"/>
      <c r="G13" s="9"/>
      <c r="H13" s="4"/>
      <c r="I13" s="10">
        <f t="shared" si="0"/>
        <v>0</v>
      </c>
      <c r="J13" s="11"/>
      <c r="K13" s="4"/>
      <c r="L13" s="4"/>
    </row>
    <row r="14" spans="1:58" x14ac:dyDescent="0.25">
      <c r="A14" s="1"/>
      <c r="B14" s="1"/>
      <c r="C14" s="1"/>
      <c r="D14" s="2"/>
      <c r="E14" s="3"/>
      <c r="F14" s="1"/>
      <c r="G14" s="7"/>
      <c r="H14" s="1"/>
      <c r="I14" s="1">
        <f t="shared" si="0"/>
        <v>0</v>
      </c>
      <c r="J14" s="8"/>
      <c r="K14" s="1"/>
      <c r="L14" s="1"/>
    </row>
    <row r="15" spans="1:58" x14ac:dyDescent="0.25">
      <c r="A15" s="4"/>
      <c r="B15" s="4"/>
      <c r="C15" s="4"/>
      <c r="D15" s="5"/>
      <c r="E15" s="6"/>
      <c r="F15" s="4"/>
      <c r="G15" s="9"/>
      <c r="H15" s="4"/>
      <c r="I15" s="10">
        <f t="shared" si="0"/>
        <v>0</v>
      </c>
      <c r="J15" s="11"/>
      <c r="K15" s="4"/>
      <c r="L15" s="4"/>
    </row>
    <row r="16" spans="1:58" ht="21" customHeight="1" x14ac:dyDescent="0.25">
      <c r="A16" s="1"/>
      <c r="B16" s="1"/>
      <c r="C16" s="1"/>
      <c r="D16" s="2"/>
      <c r="E16" s="3"/>
      <c r="F16" s="1"/>
      <c r="G16" s="7"/>
      <c r="H16" s="1"/>
      <c r="I16" s="1">
        <f t="shared" si="0"/>
        <v>0</v>
      </c>
      <c r="J16" s="8"/>
      <c r="K16" s="1"/>
      <c r="L16" s="1"/>
    </row>
    <row r="17" spans="1:12" ht="22.5" customHeight="1" x14ac:dyDescent="0.25">
      <c r="A17" t="s">
        <v>118</v>
      </c>
      <c r="B17">
        <f>COUNT(B8:B16)</f>
        <v>0</v>
      </c>
      <c r="C17">
        <f>COUNT(C8:C16)</f>
        <v>0</v>
      </c>
      <c r="D17">
        <f t="shared" ref="D17:L17" si="2">COUNT(D8:D16)</f>
        <v>3</v>
      </c>
      <c r="E17">
        <f t="shared" si="2"/>
        <v>3</v>
      </c>
      <c r="F17">
        <f t="shared" si="2"/>
        <v>3</v>
      </c>
      <c r="G17">
        <f t="shared" si="2"/>
        <v>3</v>
      </c>
      <c r="H17">
        <f t="shared" si="2"/>
        <v>3</v>
      </c>
      <c r="I17">
        <f t="shared" si="2"/>
        <v>9</v>
      </c>
      <c r="J17">
        <f t="shared" si="2"/>
        <v>3</v>
      </c>
      <c r="K17">
        <f t="shared" si="2"/>
        <v>3</v>
      </c>
      <c r="L17">
        <f t="shared" si="2"/>
        <v>3</v>
      </c>
    </row>
    <row r="18" spans="1:12" x14ac:dyDescent="0.25">
      <c r="A18" t="s">
        <v>119</v>
      </c>
      <c r="B18">
        <f>COUNTA(B8:B16)</f>
        <v>3</v>
      </c>
      <c r="C18">
        <f t="shared" ref="C18:L18" si="3">COUNTA(C8:C16)</f>
        <v>3</v>
      </c>
      <c r="D18">
        <f t="shared" si="3"/>
        <v>3</v>
      </c>
      <c r="E18">
        <f t="shared" si="3"/>
        <v>3</v>
      </c>
      <c r="F18">
        <f t="shared" si="3"/>
        <v>3</v>
      </c>
      <c r="G18">
        <f t="shared" si="3"/>
        <v>3</v>
      </c>
      <c r="H18">
        <f t="shared" si="3"/>
        <v>3</v>
      </c>
      <c r="I18">
        <f t="shared" si="3"/>
        <v>9</v>
      </c>
      <c r="J18">
        <f t="shared" si="3"/>
        <v>3</v>
      </c>
      <c r="K18">
        <f t="shared" si="3"/>
        <v>3</v>
      </c>
      <c r="L18">
        <f t="shared" si="3"/>
        <v>3</v>
      </c>
    </row>
    <row r="19" spans="1:12" x14ac:dyDescent="0.25">
      <c r="A19" t="s">
        <v>120</v>
      </c>
      <c r="B19">
        <f>COUNTBLANK(B8:B16)</f>
        <v>6</v>
      </c>
      <c r="C19">
        <f t="shared" ref="C19:L19" si="4">COUNTBLANK(C8:C16)</f>
        <v>6</v>
      </c>
      <c r="D19">
        <f t="shared" si="4"/>
        <v>6</v>
      </c>
      <c r="E19">
        <f t="shared" si="4"/>
        <v>6</v>
      </c>
      <c r="F19">
        <f t="shared" si="4"/>
        <v>6</v>
      </c>
      <c r="G19">
        <f t="shared" si="4"/>
        <v>6</v>
      </c>
      <c r="H19">
        <f t="shared" si="4"/>
        <v>6</v>
      </c>
      <c r="I19">
        <f t="shared" si="4"/>
        <v>0</v>
      </c>
      <c r="J19">
        <f t="shared" si="4"/>
        <v>6</v>
      </c>
      <c r="K19">
        <f t="shared" si="4"/>
        <v>6</v>
      </c>
      <c r="L19">
        <f t="shared" si="4"/>
        <v>6</v>
      </c>
    </row>
  </sheetData>
  <phoneticPr fontId="1" type="noConversion"/>
  <conditionalFormatting sqref="J8:J16">
    <cfRule type="containsErrors" dxfId="3" priority="2">
      <formula>ISERROR(J8)</formula>
    </cfRule>
  </conditionalFormatting>
  <conditionalFormatting sqref="A8:A16">
    <cfRule type="expression" dxfId="2" priority="1">
      <formula>OR(AND(K8=0,K8&lt;&gt;""),L8&lt;&gt;0)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969-EFD2-417B-84D2-C5467789402C}">
  <dimension ref="A2:BF19"/>
  <sheetViews>
    <sheetView workbookViewId="0">
      <selection activeCell="F20" sqref="F20"/>
    </sheetView>
  </sheetViews>
  <sheetFormatPr defaultRowHeight="15" x14ac:dyDescent="0.25"/>
  <cols>
    <col min="3" max="3" width="11.85546875" customWidth="1"/>
    <col min="4" max="6" width="26.140625" customWidth="1"/>
    <col min="7" max="7" width="20.85546875" customWidth="1"/>
    <col min="8" max="8" width="12.85546875" customWidth="1"/>
    <col min="9" max="9" width="26.140625" customWidth="1"/>
  </cols>
  <sheetData>
    <row r="2" spans="1:58" ht="5.0999999999999996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pans="1:58" ht="23.25" x14ac:dyDescent="0.35">
      <c r="A3" s="14"/>
      <c r="B3" s="14"/>
      <c r="C3" s="15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</row>
    <row r="4" spans="1:58" ht="5.0999999999999996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</row>
    <row r="8" spans="1:58" ht="15.75" x14ac:dyDescent="0.25">
      <c r="D8" s="13" t="s">
        <v>3</v>
      </c>
      <c r="E8" s="13" t="s">
        <v>28</v>
      </c>
      <c r="F8" s="13" t="s">
        <v>29</v>
      </c>
      <c r="G8" s="13" t="s">
        <v>30</v>
      </c>
      <c r="H8" s="13" t="s">
        <v>31</v>
      </c>
      <c r="I8" s="13" t="s">
        <v>32</v>
      </c>
    </row>
    <row r="9" spans="1:58" x14ac:dyDescent="0.25">
      <c r="D9" s="30" t="s">
        <v>33</v>
      </c>
      <c r="E9" s="3" t="s">
        <v>42</v>
      </c>
      <c r="F9" s="23" t="s">
        <v>43</v>
      </c>
      <c r="G9" s="32" t="s">
        <v>52</v>
      </c>
      <c r="H9" s="1" t="s">
        <v>61</v>
      </c>
      <c r="I9" s="3">
        <v>42049</v>
      </c>
    </row>
    <row r="10" spans="1:58" x14ac:dyDescent="0.25">
      <c r="D10" s="31" t="s">
        <v>34</v>
      </c>
      <c r="E10" s="19" t="s">
        <v>42</v>
      </c>
      <c r="F10" s="24" t="s">
        <v>44</v>
      </c>
      <c r="G10" s="33" t="s">
        <v>53</v>
      </c>
      <c r="H10" s="10" t="s">
        <v>61</v>
      </c>
      <c r="I10" s="25">
        <v>42049</v>
      </c>
    </row>
    <row r="11" spans="1:58" x14ac:dyDescent="0.25">
      <c r="D11" s="30" t="s">
        <v>35</v>
      </c>
      <c r="E11" s="3" t="s">
        <v>42</v>
      </c>
      <c r="F11" s="26" t="s">
        <v>45</v>
      </c>
      <c r="G11" s="27" t="s">
        <v>54</v>
      </c>
      <c r="H11" s="28" t="s">
        <v>61</v>
      </c>
      <c r="I11" s="27">
        <v>42049</v>
      </c>
    </row>
    <row r="12" spans="1:58" x14ac:dyDescent="0.25">
      <c r="D12" s="31" t="s">
        <v>36</v>
      </c>
      <c r="E12" s="19" t="s">
        <v>42</v>
      </c>
      <c r="F12" s="24" t="s">
        <v>46</v>
      </c>
      <c r="G12" s="33" t="s">
        <v>55</v>
      </c>
      <c r="H12" s="10" t="s">
        <v>61</v>
      </c>
      <c r="I12" s="25">
        <v>42049</v>
      </c>
    </row>
    <row r="13" spans="1:58" x14ac:dyDescent="0.25">
      <c r="D13" s="30" t="s">
        <v>37</v>
      </c>
      <c r="E13" s="3" t="s">
        <v>42</v>
      </c>
      <c r="F13" s="26" t="s">
        <v>47</v>
      </c>
      <c r="G13" s="27" t="s">
        <v>56</v>
      </c>
      <c r="H13" s="28" t="s">
        <v>61</v>
      </c>
      <c r="I13" s="27">
        <v>42049</v>
      </c>
    </row>
    <row r="14" spans="1:58" x14ac:dyDescent="0.25">
      <c r="D14" s="31" t="s">
        <v>38</v>
      </c>
      <c r="E14" s="19" t="s">
        <v>42</v>
      </c>
      <c r="F14" s="24" t="s">
        <v>48</v>
      </c>
      <c r="G14" s="33" t="s">
        <v>57</v>
      </c>
      <c r="H14" s="10" t="s">
        <v>61</v>
      </c>
      <c r="I14" s="33">
        <v>42049</v>
      </c>
    </row>
    <row r="15" spans="1:58" x14ac:dyDescent="0.25">
      <c r="D15" s="30" t="s">
        <v>39</v>
      </c>
      <c r="E15" s="3" t="s">
        <v>42</v>
      </c>
      <c r="F15" s="26" t="s">
        <v>49</v>
      </c>
      <c r="G15" s="27" t="s">
        <v>58</v>
      </c>
      <c r="H15" s="28" t="s">
        <v>62</v>
      </c>
      <c r="I15" s="27">
        <v>42049</v>
      </c>
    </row>
    <row r="16" spans="1:58" x14ac:dyDescent="0.25">
      <c r="D16" s="31" t="s">
        <v>40</v>
      </c>
      <c r="E16" s="19" t="s">
        <v>42</v>
      </c>
      <c r="F16" s="24" t="s">
        <v>50</v>
      </c>
      <c r="G16" s="33" t="s">
        <v>59</v>
      </c>
      <c r="H16" s="21" t="s">
        <v>62</v>
      </c>
      <c r="I16" s="33">
        <v>42049</v>
      </c>
    </row>
    <row r="17" spans="4:9" x14ac:dyDescent="0.25">
      <c r="D17" s="30" t="s">
        <v>41</v>
      </c>
      <c r="E17" s="3" t="s">
        <v>42</v>
      </c>
      <c r="F17" s="29" t="s">
        <v>51</v>
      </c>
      <c r="G17" s="27" t="s">
        <v>60</v>
      </c>
      <c r="H17" s="28" t="s">
        <v>62</v>
      </c>
      <c r="I17" s="27">
        <v>42049</v>
      </c>
    </row>
    <row r="18" spans="4:9" x14ac:dyDescent="0.25">
      <c r="I18" s="34"/>
    </row>
    <row r="19" spans="4:9" x14ac:dyDescent="0.25">
      <c r="I19" s="16"/>
    </row>
  </sheetData>
  <phoneticPr fontId="1" type="noConversion"/>
  <hyperlinks>
    <hyperlink ref="F9" r:id="rId1" xr:uid="{B55FEEE4-802C-45A6-BB82-DBD34F4BD4E4}"/>
    <hyperlink ref="F10" r:id="rId2" xr:uid="{FEACB03B-2D0E-4962-9BA2-DB2FD1A9636E}"/>
    <hyperlink ref="F11" r:id="rId3" xr:uid="{38176A9B-36BA-477D-A0E1-35BBAE312744}"/>
    <hyperlink ref="F16" r:id="rId4" xr:uid="{91A6D7F5-145D-4BEC-B82D-C68A2C8C6FEE}"/>
    <hyperlink ref="F15" r:id="rId5" xr:uid="{FB07A420-4947-4C3C-B318-28309EC84220}"/>
    <hyperlink ref="F14" r:id="rId6" xr:uid="{CD7A41B0-0C92-49F1-9B6D-ADB07118222C}"/>
    <hyperlink ref="F13" r:id="rId7" xr:uid="{A70EEF5B-FB15-4A09-B770-64F087E5B021}"/>
    <hyperlink ref="F12" r:id="rId8" xr:uid="{873D4B57-AEA0-47E0-B775-FFA32DE73998}"/>
    <hyperlink ref="F17" r:id="rId9" xr:uid="{6EFD89F6-D9A8-4D9F-8A89-973558B6A58F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7586-06BC-4449-9C28-87A75B8E467D}">
  <dimension ref="A1:V20"/>
  <sheetViews>
    <sheetView topLeftCell="B1" zoomScale="85" zoomScaleNormal="85" workbookViewId="0">
      <selection activeCell="B4" sqref="A4:B4"/>
    </sheetView>
  </sheetViews>
  <sheetFormatPr defaultRowHeight="23.25" x14ac:dyDescent="0.35"/>
  <cols>
    <col min="1" max="1" width="26.85546875" bestFit="1" customWidth="1"/>
    <col min="3" max="3" width="27.42578125" customWidth="1"/>
    <col min="4" max="4" width="49.7109375" customWidth="1"/>
    <col min="5" max="5" width="15" style="40" customWidth="1"/>
    <col min="6" max="6" width="21.140625" style="40" bestFit="1" customWidth="1"/>
    <col min="7" max="7" width="16.5703125" style="40" bestFit="1" customWidth="1"/>
    <col min="8" max="8" width="18.85546875" style="40" bestFit="1" customWidth="1"/>
    <col min="9" max="9" width="18.7109375" style="40" bestFit="1" customWidth="1"/>
    <col min="10" max="10" width="16.42578125" style="40" bestFit="1" customWidth="1"/>
    <col min="11" max="11" width="11.5703125" style="40" customWidth="1"/>
    <col min="14" max="14" width="23.5703125" bestFit="1" customWidth="1"/>
  </cols>
  <sheetData>
    <row r="1" spans="1:22" x14ac:dyDescent="0.35">
      <c r="A1" s="39"/>
    </row>
    <row r="3" spans="1:22" ht="24" thickBot="1" x14ac:dyDescent="0.4">
      <c r="E3" s="40" t="s">
        <v>19</v>
      </c>
      <c r="F3" s="40" t="s">
        <v>20</v>
      </c>
      <c r="G3" s="40" t="s">
        <v>21</v>
      </c>
      <c r="H3" s="40" t="s">
        <v>22</v>
      </c>
      <c r="I3" s="40" t="s">
        <v>23</v>
      </c>
      <c r="J3" s="40" t="s">
        <v>24</v>
      </c>
      <c r="K3" s="40" t="s">
        <v>25</v>
      </c>
    </row>
    <row r="4" spans="1:22" ht="15" x14ac:dyDescent="0.25">
      <c r="E4" s="48"/>
      <c r="F4" s="49"/>
      <c r="G4" s="49"/>
      <c r="H4" s="49"/>
      <c r="I4" s="49"/>
      <c r="J4" s="49"/>
      <c r="K4" s="50"/>
    </row>
    <row r="5" spans="1:22" ht="15" x14ac:dyDescent="0.25">
      <c r="E5" s="54"/>
      <c r="F5" s="1"/>
      <c r="G5" s="1"/>
      <c r="H5" s="1"/>
      <c r="I5" s="1"/>
      <c r="J5" s="1"/>
      <c r="K5" s="55"/>
      <c r="L5" s="41"/>
    </row>
    <row r="6" spans="1:22" ht="21" x14ac:dyDescent="0.35">
      <c r="E6" s="43">
        <v>1</v>
      </c>
      <c r="F6" s="42">
        <v>2</v>
      </c>
      <c r="G6" s="42">
        <v>3</v>
      </c>
      <c r="H6" s="42">
        <v>4</v>
      </c>
      <c r="I6" s="42">
        <v>5</v>
      </c>
      <c r="J6" s="42">
        <v>6</v>
      </c>
      <c r="K6" s="44">
        <v>7</v>
      </c>
      <c r="L6" s="41"/>
    </row>
    <row r="7" spans="1:22" ht="15" x14ac:dyDescent="0.25">
      <c r="E7" s="51"/>
      <c r="F7" s="52"/>
      <c r="G7" s="52"/>
      <c r="H7" s="52"/>
      <c r="I7" s="52"/>
      <c r="J7" s="52"/>
      <c r="K7" s="53"/>
      <c r="L7" s="41"/>
    </row>
    <row r="8" spans="1:22" ht="15" x14ac:dyDescent="0.25">
      <c r="E8" s="54"/>
      <c r="F8" s="1"/>
      <c r="G8" s="1"/>
      <c r="H8" s="1"/>
      <c r="I8" s="1"/>
      <c r="J8" s="1"/>
      <c r="K8" s="55"/>
      <c r="L8" s="41"/>
    </row>
    <row r="9" spans="1:22" ht="21" x14ac:dyDescent="0.35">
      <c r="E9" s="43">
        <v>8</v>
      </c>
      <c r="F9" s="42">
        <v>9</v>
      </c>
      <c r="G9" s="42">
        <v>10</v>
      </c>
      <c r="H9" s="42">
        <v>11</v>
      </c>
      <c r="I9" s="42">
        <v>12</v>
      </c>
      <c r="J9" s="42">
        <v>13</v>
      </c>
      <c r="K9" s="44">
        <v>14</v>
      </c>
      <c r="L9" s="41"/>
      <c r="U9" t="s">
        <v>26</v>
      </c>
      <c r="V9" t="s">
        <v>27</v>
      </c>
    </row>
    <row r="10" spans="1:22" ht="15" x14ac:dyDescent="0.25">
      <c r="E10" s="51"/>
      <c r="F10" s="52"/>
      <c r="G10" s="52"/>
      <c r="H10" s="52"/>
      <c r="I10" s="52"/>
      <c r="J10" s="52"/>
      <c r="K10" s="53"/>
      <c r="L10" s="41"/>
    </row>
    <row r="11" spans="1:22" ht="15" x14ac:dyDescent="0.25">
      <c r="E11" s="54"/>
      <c r="F11" s="1"/>
      <c r="G11" s="1"/>
      <c r="H11" s="1"/>
      <c r="I11" s="1"/>
      <c r="J11" s="1"/>
      <c r="K11" s="55"/>
      <c r="L11" s="41"/>
    </row>
    <row r="12" spans="1:22" ht="21" x14ac:dyDescent="0.35">
      <c r="E12" s="43">
        <v>15</v>
      </c>
      <c r="F12" s="42">
        <v>16</v>
      </c>
      <c r="G12" s="42">
        <v>17</v>
      </c>
      <c r="H12" s="42">
        <v>18</v>
      </c>
      <c r="I12" s="42">
        <v>19</v>
      </c>
      <c r="J12" s="42">
        <v>20</v>
      </c>
      <c r="K12" s="44">
        <v>21</v>
      </c>
      <c r="L12" s="41"/>
    </row>
    <row r="13" spans="1:22" ht="15" x14ac:dyDescent="0.25">
      <c r="E13" s="51"/>
      <c r="F13" s="52"/>
      <c r="G13" s="52"/>
      <c r="H13" s="52"/>
      <c r="I13" s="52"/>
      <c r="J13" s="52"/>
      <c r="K13" s="53"/>
      <c r="L13" s="41"/>
    </row>
    <row r="14" spans="1:22" ht="15" x14ac:dyDescent="0.25">
      <c r="E14" s="54"/>
      <c r="F14" s="1"/>
      <c r="G14" s="1"/>
      <c r="H14" s="1"/>
      <c r="I14" s="1"/>
      <c r="J14" s="1"/>
      <c r="K14" s="55"/>
      <c r="L14" s="41"/>
    </row>
    <row r="15" spans="1:22" ht="21" x14ac:dyDescent="0.35">
      <c r="E15" s="43">
        <v>21</v>
      </c>
      <c r="F15" s="42">
        <v>22</v>
      </c>
      <c r="G15" s="42">
        <v>23</v>
      </c>
      <c r="H15" s="42">
        <v>24</v>
      </c>
      <c r="I15" s="42">
        <v>25</v>
      </c>
      <c r="J15" s="42">
        <v>26</v>
      </c>
      <c r="K15" s="44">
        <v>27</v>
      </c>
      <c r="L15" s="41"/>
    </row>
    <row r="16" spans="1:22" ht="15" x14ac:dyDescent="0.25">
      <c r="E16" s="51"/>
      <c r="F16" s="52"/>
      <c r="G16" s="52"/>
      <c r="H16" s="52"/>
      <c r="I16" s="52"/>
      <c r="J16" s="52"/>
      <c r="K16" s="53"/>
      <c r="L16" s="41"/>
    </row>
    <row r="17" spans="3:12" x14ac:dyDescent="0.35">
      <c r="D17" s="40"/>
      <c r="E17" s="54"/>
      <c r="F17" s="1"/>
      <c r="G17" s="1"/>
      <c r="H17" s="1"/>
      <c r="I17" s="1"/>
      <c r="J17" s="1"/>
      <c r="K17" s="55"/>
      <c r="L17" s="41"/>
    </row>
    <row r="18" spans="3:12" ht="21.75" thickBot="1" x14ac:dyDescent="0.4">
      <c r="E18" s="45">
        <v>28</v>
      </c>
      <c r="F18" s="46">
        <v>29</v>
      </c>
      <c r="G18" s="46">
        <v>30</v>
      </c>
      <c r="H18" s="46">
        <v>31</v>
      </c>
      <c r="I18" s="46"/>
      <c r="J18" s="46"/>
      <c r="K18" s="47"/>
      <c r="L18" s="41"/>
    </row>
    <row r="20" spans="3:12" ht="46.5" x14ac:dyDescent="0.35">
      <c r="C20" s="12" t="s">
        <v>13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EB7F-BB9E-4220-A076-C6DF11E24DFE}">
  <dimension ref="A4:G21"/>
  <sheetViews>
    <sheetView workbookViewId="0">
      <selection activeCell="A4" sqref="A4:B4"/>
    </sheetView>
  </sheetViews>
  <sheetFormatPr defaultRowHeight="15" x14ac:dyDescent="0.25"/>
  <cols>
    <col min="1" max="1" width="12.85546875" customWidth="1"/>
    <col min="2" max="2" width="16" customWidth="1"/>
    <col min="4" max="4" width="20.5703125" bestFit="1" customWidth="1"/>
    <col min="6" max="6" width="15.5703125" customWidth="1"/>
    <col min="7" max="7" width="29.140625" bestFit="1" customWidth="1"/>
  </cols>
  <sheetData>
    <row r="4" spans="1:7" x14ac:dyDescent="0.25">
      <c r="A4" s="57" t="s">
        <v>63</v>
      </c>
      <c r="B4" s="57"/>
      <c r="D4" s="38" t="s">
        <v>78</v>
      </c>
      <c r="F4" s="57" t="s">
        <v>93</v>
      </c>
      <c r="G4" s="57"/>
    </row>
    <row r="5" spans="1:7" x14ac:dyDescent="0.25">
      <c r="A5" s="37" t="s">
        <v>2</v>
      </c>
      <c r="B5" s="37" t="s">
        <v>64</v>
      </c>
      <c r="D5" s="37" t="s">
        <v>12</v>
      </c>
      <c r="F5" s="37" t="s">
        <v>95</v>
      </c>
      <c r="G5" s="37" t="s">
        <v>94</v>
      </c>
    </row>
    <row r="6" spans="1:7" x14ac:dyDescent="0.25">
      <c r="A6" s="35" t="s">
        <v>7</v>
      </c>
      <c r="B6" s="36">
        <v>1</v>
      </c>
      <c r="D6" s="35" t="s">
        <v>10</v>
      </c>
      <c r="F6" s="35" t="s">
        <v>96</v>
      </c>
      <c r="G6" s="35"/>
    </row>
    <row r="7" spans="1:7" x14ac:dyDescent="0.25">
      <c r="A7" s="35" t="s">
        <v>8</v>
      </c>
      <c r="B7" s="36">
        <v>1</v>
      </c>
      <c r="D7" s="35" t="s">
        <v>11</v>
      </c>
      <c r="F7" s="35" t="s">
        <v>97</v>
      </c>
      <c r="G7" s="35"/>
    </row>
    <row r="8" spans="1:7" x14ac:dyDescent="0.25">
      <c r="A8" s="35" t="s">
        <v>9</v>
      </c>
      <c r="B8" s="36">
        <v>1</v>
      </c>
      <c r="D8" s="35" t="s">
        <v>79</v>
      </c>
      <c r="F8" s="35" t="s">
        <v>98</v>
      </c>
      <c r="G8" s="35"/>
    </row>
    <row r="9" spans="1:7" x14ac:dyDescent="0.25">
      <c r="A9" s="35" t="s">
        <v>65</v>
      </c>
      <c r="B9" s="36">
        <v>1</v>
      </c>
      <c r="D9" s="35" t="s">
        <v>80</v>
      </c>
      <c r="F9" s="35" t="s">
        <v>99</v>
      </c>
      <c r="G9" s="35"/>
    </row>
    <row r="10" spans="1:7" x14ac:dyDescent="0.25">
      <c r="A10" s="35" t="s">
        <v>66</v>
      </c>
      <c r="B10" s="36">
        <v>1</v>
      </c>
      <c r="D10" s="35" t="s">
        <v>81</v>
      </c>
      <c r="F10" s="35" t="s">
        <v>100</v>
      </c>
      <c r="G10" s="35"/>
    </row>
    <row r="11" spans="1:7" x14ac:dyDescent="0.25">
      <c r="A11" s="35" t="s">
        <v>67</v>
      </c>
      <c r="B11" s="36">
        <v>1</v>
      </c>
      <c r="D11" s="35" t="s">
        <v>82</v>
      </c>
      <c r="F11" s="35" t="s">
        <v>101</v>
      </c>
      <c r="G11" s="35"/>
    </row>
    <row r="12" spans="1:7" x14ac:dyDescent="0.25">
      <c r="A12" s="35" t="s">
        <v>68</v>
      </c>
      <c r="B12" s="36">
        <v>1</v>
      </c>
      <c r="D12" s="35" t="s">
        <v>83</v>
      </c>
      <c r="F12" s="35" t="s">
        <v>102</v>
      </c>
      <c r="G12" s="35"/>
    </row>
    <row r="13" spans="1:7" x14ac:dyDescent="0.25">
      <c r="A13" s="35" t="s">
        <v>69</v>
      </c>
      <c r="B13" s="36">
        <v>1</v>
      </c>
      <c r="D13" s="35" t="s">
        <v>84</v>
      </c>
      <c r="F13" s="35" t="s">
        <v>103</v>
      </c>
      <c r="G13" s="35"/>
    </row>
    <row r="14" spans="1:7" x14ac:dyDescent="0.25">
      <c r="A14" s="35" t="s">
        <v>70</v>
      </c>
      <c r="B14" s="36">
        <v>1</v>
      </c>
      <c r="D14" s="35" t="s">
        <v>85</v>
      </c>
      <c r="F14" s="35" t="s">
        <v>104</v>
      </c>
      <c r="G14" s="35"/>
    </row>
    <row r="15" spans="1:7" x14ac:dyDescent="0.25">
      <c r="A15" s="35" t="s">
        <v>71</v>
      </c>
      <c r="B15" s="36">
        <v>1</v>
      </c>
      <c r="D15" s="35" t="s">
        <v>86</v>
      </c>
      <c r="F15" s="35" t="s">
        <v>105</v>
      </c>
      <c r="G15" s="35"/>
    </row>
    <row r="16" spans="1:7" x14ac:dyDescent="0.25">
      <c r="A16" s="35" t="s">
        <v>72</v>
      </c>
      <c r="B16" s="36">
        <v>1</v>
      </c>
      <c r="D16" s="35" t="s">
        <v>87</v>
      </c>
      <c r="F16" s="35" t="s">
        <v>106</v>
      </c>
      <c r="G16" s="35"/>
    </row>
    <row r="17" spans="1:7" x14ac:dyDescent="0.25">
      <c r="A17" s="35" t="s">
        <v>73</v>
      </c>
      <c r="B17" s="36">
        <v>1</v>
      </c>
      <c r="D17" s="35" t="s">
        <v>88</v>
      </c>
      <c r="F17" s="35" t="s">
        <v>107</v>
      </c>
      <c r="G17" s="35"/>
    </row>
    <row r="18" spans="1:7" x14ac:dyDescent="0.25">
      <c r="A18" s="35" t="s">
        <v>74</v>
      </c>
      <c r="B18" s="36">
        <v>1</v>
      </c>
      <c r="D18" s="35" t="s">
        <v>89</v>
      </c>
      <c r="F18" s="35" t="s">
        <v>108</v>
      </c>
      <c r="G18" s="35"/>
    </row>
    <row r="19" spans="1:7" x14ac:dyDescent="0.25">
      <c r="A19" s="35" t="s">
        <v>75</v>
      </c>
      <c r="B19" s="36">
        <v>1</v>
      </c>
      <c r="D19" s="35" t="s">
        <v>90</v>
      </c>
      <c r="F19" s="35" t="s">
        <v>109</v>
      </c>
      <c r="G19" s="35"/>
    </row>
    <row r="20" spans="1:7" x14ac:dyDescent="0.25">
      <c r="A20" s="35" t="s">
        <v>76</v>
      </c>
      <c r="B20" s="36">
        <v>1</v>
      </c>
      <c r="D20" s="35" t="s">
        <v>91</v>
      </c>
      <c r="F20" s="35" t="s">
        <v>110</v>
      </c>
      <c r="G20" s="35"/>
    </row>
    <row r="21" spans="1:7" x14ac:dyDescent="0.25">
      <c r="A21" s="35" t="s">
        <v>77</v>
      </c>
      <c r="B21" s="36">
        <v>1</v>
      </c>
      <c r="D21" s="35" t="s">
        <v>92</v>
      </c>
      <c r="F21" s="35" t="s">
        <v>111</v>
      </c>
      <c r="G21" s="35"/>
    </row>
  </sheetData>
  <mergeCells count="2">
    <mergeCell ref="A4:B4"/>
    <mergeCell ref="F4:G4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Menu</vt:lpstr>
      <vt:lpstr>Geral</vt:lpstr>
      <vt:lpstr>Clientes</vt:lpstr>
      <vt:lpstr>Calendário</vt:lpstr>
      <vt:lpstr>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Laucis</dc:creator>
  <cp:lastModifiedBy>Eduardo Laucis</cp:lastModifiedBy>
  <dcterms:created xsi:type="dcterms:W3CDTF">2020-11-06T13:53:04Z</dcterms:created>
  <dcterms:modified xsi:type="dcterms:W3CDTF">2020-12-05T19:21:24Z</dcterms:modified>
</cp:coreProperties>
</file>